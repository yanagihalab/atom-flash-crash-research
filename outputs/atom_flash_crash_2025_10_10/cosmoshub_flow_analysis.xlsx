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5179d23ce44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865f85e91643c8"/>
    <x:sheet xmlns:r="http://schemas.openxmlformats.org/officeDocument/2006/relationships" name="Control Summary" sheetId="2" r:id="R8a0e9491c3464bc5"/>
    <x:sheet xmlns:r="http://schemas.openxmlformats.org/officeDocument/2006/relationships" name="Market Controls" sheetId="3" r:id="Re6d041fda9914be0"/>
    <x:sheet xmlns:r="http://schemas.openxmlformats.org/officeDocument/2006/relationships" name="Control Dist" sheetId="4" r:id="Rcedec5d5881b4243"/>
    <x:sheet xmlns:r="http://schemas.openxmlformats.org/officeDocument/2006/relationships" name="Periods" sheetId="5" r:id="R6c7a641adf6c4677"/>
    <x:sheet xmlns:r="http://schemas.openxmlformats.org/officeDocument/2006/relationships" name="Exchanges" sheetId="6" r:id="R9a1e903356af4f7e"/>
    <x:sheet xmlns:r="http://schemas.openxmlformats.org/officeDocument/2006/relationships" name="Candidates" sheetId="7" r:id="Rd27b29f0635543bc"/>
    <x:sheet xmlns:r="http://schemas.openxmlformats.org/officeDocument/2006/relationships" name="IBC Routes" sheetId="8" r:id="R882c4d097a7c41e7"/>
    <x:sheet xmlns:r="http://schemas.openxmlformats.org/officeDocument/2006/relationships" name="5min Series" sheetId="9" r:id="R5212f5b66d6340c0"/>
    <x:sheet xmlns:r="http://schemas.openxmlformats.org/officeDocument/2006/relationships" name="Methods" sheetId="10" r:id="R5e6a223bee2b468c"/>
    <x:sheet xmlns:r="http://schemas.openxmlformats.org/officeDocument/2006/relationships" name="30d Tests" sheetId="11" r:id="Rc4d7201f64d3403b"/>
    <x:sheet xmlns:r="http://schemas.openxmlformats.org/officeDocument/2006/relationships" name="30d Controls" sheetId="12" r:id="R6a204c6e932d47eb"/>
    <x:sheet xmlns:r="http://schemas.openxmlformats.org/officeDocument/2006/relationships" name="Lead Lag" sheetId="13" r:id="Raf142bd4dede41bb"/>
    <x:sheet xmlns:r="http://schemas.openxmlformats.org/officeDocument/2006/relationships" name="Lag Curves" sheetId="14" r:id="R68bec3d73e8e4a02"/>
    <x:sheet xmlns:r="http://schemas.openxmlformats.org/officeDocument/2006/relationships" name="Robustness" sheetId="15" r:id="R4154a45c530246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0"/>
    <x:numFmt numFmtId="201" formatCode="#,##0"/>
    <x:numFmt numFmtId="202" formatCode="0.0%"/>
    <x:numFmt numFmtId="203" formatCode="0.00x"/>
    <x:numFmt numFmtId="204" formatCode="0.000000"/>
    <x:numFmt numFmtId="205" formatCode="0.000%"/>
    <x:numFmt numFmtId="206" formatCode="yyyy-mm-dd hh:mm"/>
    <x:numFmt numFmtId="207" formatCode="0.0000"/>
    <x:numFmt numFmtId="208" formatCode="0"/>
    <x:numFmt numFmtId="209" formatCode="0.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243B5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DF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EAF2FF"/>
      </x:patternFill>
    </x:fill>
    <x:fill>
      <x:patternFill patternType="solid">
        <x:fgColor rgb="FFE7F6F3"/>
      </x:patternFill>
    </x:fill>
    <x:fill>
      <x:patternFill patternType="solid">
        <x:fgColor rgb="FFF3F5F7"/>
      </x:patternFill>
    </x:fill>
  </x:fills>
  <x:borders count="7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7DEE5"/>
      </x:bottom>
    </x:border>
    <x:border>
      <x:top style="thin">
        <x:color rgb="FFD7DEE5"/>
      </x:top>
      <x:bottom style="thin">
        <x:color rgb="FFD7DEE5"/>
      </x:bottom>
    </x:border>
    <x:border>
      <x:top style="thin">
        <x:color rgb="FFD7DEE5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202" fontId="0" fillId="0" borderId="4" xfId="0" applyNumberFormat="1" applyFont="1" applyFill="1" applyBorder="1"/>
    <x:xf numFmtId="202" fontId="0" fillId="0" borderId="5" xfId="0" applyNumberFormat="1" applyFont="1" applyFill="1" applyBorder="1"/>
    <x:xf numFmtId="0" fontId="0" fillId="3" borderId="5" xfId="0" applyNumberFormat="1" applyFont="1" applyFill="1" applyBorder="1"/>
    <x:xf numFmtId="200" fontId="0" fillId="3" borderId="5" xfId="0" applyNumberFormat="1" applyFont="1" applyFill="1" applyBorder="1"/>
    <x:xf numFmtId="202" fontId="0" fillId="3" borderId="5" xfId="0" applyNumberFormat="1" applyFont="1" applyFill="1" applyBorder="1"/>
    <x:xf numFmtId="201" fontId="0" fillId="3" borderId="5" xfId="0" applyNumberFormat="1" applyFont="1" applyFill="1" applyBorder="1"/>
    <x:xf numFmtId="203" fontId="0" fillId="0" borderId="4" xfId="0" applyNumberFormat="1" applyFont="1" applyFill="1" applyBorder="1"/>
    <x:xf numFmtId="203" fontId="0" fillId="0" borderId="5" xfId="0" applyNumberFormat="1" applyFont="1" applyFill="1" applyBorder="1"/>
    <x:xf numFmtId="204" fontId="0" fillId="0" borderId="4" xfId="0" applyNumberFormat="1" applyFont="1" applyFill="1" applyBorder="1"/>
    <x:xf numFmtId="204" fontId="0" fillId="0" borderId="5" xfId="0" applyNumberFormat="1" applyFont="1" applyFill="1" applyBorder="1"/>
    <x:xf numFmtId="205" fontId="0" fillId="0" borderId="4" xfId="0" applyNumberFormat="1" applyFont="1" applyFill="1" applyBorder="1"/>
    <x:xf numFmtId="205" fontId="0" fillId="0" borderId="5" xfId="0" applyNumberFormat="1" applyFont="1" applyFill="1" applyBorder="1"/>
    <x:xf numFmtId="205" fontId="0" fillId="3" borderId="5" xfId="0" applyNumberFormat="1" applyFont="1" applyFill="1" applyBorder="1"/>
    <x:xf numFmtId="202" fontId="0" fillId="0" borderId="0" xfId="0" applyNumberFormat="1" applyFont="1" applyFill="1" applyBorder="1"/>
    <x:xf numFmtId="206" fontId="0" fillId="0" borderId="4" xfId="0" applyNumberFormat="1" applyFont="1" applyFill="1" applyBorder="1"/>
    <x:xf numFmtId="206" fontId="0" fillId="0" borderId="5" xfId="0" applyNumberFormat="1" applyFont="1" applyFill="1" applyBorder="1"/>
    <x:xf numFmtId="207" fontId="0" fillId="0" borderId="4" xfId="0" applyNumberFormat="1" applyFont="1" applyFill="1" applyBorder="1"/>
    <x:xf numFmtId="207" fontId="0" fillId="0" borderId="5" xfId="0" applyNumberFormat="1" applyFont="1" applyFill="1" applyBorder="1"/>
    <x:xf numFmtId="208" fontId="0" fillId="0" borderId="4" xfId="0" applyNumberFormat="1" applyFont="1" applyFill="1" applyBorder="1"/>
    <x:xf numFmtId="208" fontId="0" fillId="0" borderId="5" xfId="0" applyNumberFormat="1" applyFont="1" applyFill="1" applyBorder="1"/>
    <x:xf numFmtId="209" fontId="0" fillId="0" borderId="4" xfId="0" applyNumberFormat="1" applyFont="1" applyFill="1" applyBorder="1"/>
    <x:xf numFmtId="209" fontId="0" fillId="0" borderId="5" xfId="0" applyNumberFormat="1" applyFont="1" applyFill="1" applyBorder="1"/>
    <x:xf numFmtId="209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0" fontId="0" fillId="6" borderId="5" xfId="0" applyNumberFormat="1" applyFont="1" applyFill="1" applyBorder="1"/>
    <x:xf numFmtId="200" fontId="0" fillId="6" borderId="5" xfId="0" applyNumberFormat="1" applyFont="1" applyFill="1" applyBorder="1"/>
    <x:xf numFmtId="0" fontId="0" fillId="7" borderId="5" xfId="0" applyNumberFormat="1" applyFont="1" applyFill="1" applyBorder="1"/>
    <x:xf numFmtId="200" fontId="0" fillId="7" borderId="5" xfId="0" applyNumberFormat="1" applyFont="1" applyFill="1" applyBorder="1"/>
    <x:xf numFmtId="0" fontId="0" fillId="8" borderId="5" xfId="0" applyNumberFormat="1" applyFont="1" applyFill="1" applyBorder="1"/>
    <x:xf numFmtId="200" fontId="0" fillId="8" borderId="5" xfId="0" applyNumberFormat="1" applyFont="1" applyFill="1" applyBorder="1"/>
    <x:xf numFmtId="0" fontId="0" fillId="8" borderId="6" xfId="0" applyNumberFormat="1" applyFont="1" applyFill="1" applyBorder="1"/>
    <x:xf numFmtId="200" fontId="0" fillId="8" borderId="6" xfId="0" applyNumberFormat="1" applyFont="1" applyFill="1" applyBorder="1"/>
  </x:cellXfs>
  <x:cellStyles count="1">
    <x:cellStyle name="Normal" xfId="0"/>
  </x:cellStyles>
  <x:dxfs count="13">
    <x:dxf>
      <x:font>
        <x:color rgb="FFB91C1C"/>
      </x:font>
    </x:dxf>
    <x:dxf>
      <x:font>
        <x:color rgb="FFB91C1C"/>
      </x:font>
    </x:dxf>
    <x:dxf>
      <x:font>
        <x:color rgb="FFB91C1C"/>
      </x:font>
    </x:dxf>
    <x:dxf>
      <x:font>
        <x:color rgb="FFB91C1C"/>
      </x:font>
    </x:dxf>
    <x:dxf>
      <x:font>
        <x:color rgb="FFB91C1C"/>
      </x:font>
    </x:dxf>
    <x:dxf>
      <x:font>
        <x:color rgb="FFB91C1C"/>
      </x:font>
    </x:dxf>
    <x:dxf>
      <x:font>
        <x:color rgb="FFB91C1C"/>
      </x:font>
    </x:dxf>
    <x:dxf>
      <x:font>
        <x:color rgb="FFB91C1C"/>
      </x:font>
    </x:dxf>
    <x:dxf>
      <x:font>
        <x:color rgb="FFB91C1C"/>
      </x:font>
    </x:dxf>
    <x:dxf>
      <x:fill>
        <x:patternFill patternType="solid">
          <x:bgColor rgb="FFFFF4DF"/>
        </x:patternFill>
      </x:fill>
    </x:dxf>
    <x:dxf>
      <x:font>
        <x:b/>
        <x:color rgb="FF0F766E"/>
      </x:font>
      <x:fill>
        <x:patternFill patternType="solid">
          <x:bgColor rgb="FFE7F6F3"/>
        </x:patternFill>
      </x:fill>
    </x:dxf>
    <x:dxf>
      <x:font>
        <x:b/>
        <x:color rgb="FFD97706"/>
      </x:font>
      <x:fill>
        <x:patternFill patternType="solid">
          <x:bgColor rgb="FFFFF4DF"/>
        </x:patternFill>
      </x:fill>
    </x:dxf>
    <x:dxf>
      <x:font>
        <x:b/>
        <x:color rgb="FF0F766E"/>
      </x:font>
      <x:fill>
        <x:patternFill patternType="solid">
          <x:bgColor rgb="FFE7F6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8262aaa4245a4" /><Relationship Type="http://schemas.openxmlformats.org/officeDocument/2006/relationships/theme" Target="/xl/theme/theme1.xml" Id="R9584008b0dc84fd8" /><Relationship Type="http://schemas.openxmlformats.org/officeDocument/2006/relationships/sharedStrings" Target="/xl/sharedStrings.xml" Id="Rd5c8ffb5e47548c7" /><Relationship Type="http://schemas.openxmlformats.org/officeDocument/2006/relationships/worksheet" Target="/xl/worksheets/sheet1.xml" Id="R77865f85e91643c8" /><Relationship Type="http://schemas.openxmlformats.org/officeDocument/2006/relationships/worksheet" Target="/xl/worksheets/sheet2.xml" Id="R8a0e9491c3464bc5" /><Relationship Type="http://schemas.openxmlformats.org/officeDocument/2006/relationships/worksheet" Target="/xl/worksheets/sheet3.xml" Id="Re6d041fda9914be0" /><Relationship Type="http://schemas.openxmlformats.org/officeDocument/2006/relationships/worksheet" Target="/xl/worksheets/sheet4.xml" Id="Rcedec5d5881b4243" /><Relationship Type="http://schemas.openxmlformats.org/officeDocument/2006/relationships/worksheet" Target="/xl/worksheets/sheet5.xml" Id="R6c7a641adf6c4677" /><Relationship Type="http://schemas.openxmlformats.org/officeDocument/2006/relationships/worksheet" Target="/xl/worksheets/sheet6.xml" Id="R9a1e903356af4f7e" /><Relationship Type="http://schemas.openxmlformats.org/officeDocument/2006/relationships/worksheet" Target="/xl/worksheets/sheet7.xml" Id="Rd27b29f0635543bc" /><Relationship Type="http://schemas.openxmlformats.org/officeDocument/2006/relationships/worksheet" Target="/xl/worksheets/sheet8.xml" Id="R882c4d097a7c41e7" /><Relationship Type="http://schemas.openxmlformats.org/officeDocument/2006/relationships/worksheet" Target="/xl/worksheets/sheet9.xml" Id="R5212f5b66d6340c0" /><Relationship Type="http://schemas.openxmlformats.org/officeDocument/2006/relationships/worksheet" Target="/xl/worksheets/sheet10.xml" Id="R5e6a223bee2b468c" /><Relationship Type="http://schemas.openxmlformats.org/officeDocument/2006/relationships/worksheet" Target="/xl/worksheets/sheet11.xml" Id="Rc4d7201f64d3403b" /><Relationship Type="http://schemas.openxmlformats.org/officeDocument/2006/relationships/worksheet" Target="/xl/worksheets/sheet12.xml" Id="R6a204c6e932d47eb" /><Relationship Type="http://schemas.openxmlformats.org/officeDocument/2006/relationships/worksheet" Target="/xl/worksheets/sheet13.xml" Id="Raf142bd4dede41bb" /><Relationship Type="http://schemas.openxmlformats.org/officeDocument/2006/relationships/worksheet" Target="/xl/worksheets/sheet14.xml" Id="R68bec3d73e8e4a02" /><Relationship Type="http://schemas.openxmlformats.org/officeDocument/2006/relationships/worksheet" Target="/xl/worksheets/sheet15.xml" Id="R4154a45c530246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a5e465dcd8491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c2dfb3346ba424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030805a1d1945a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8af2cf43362497d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6e27ac45c7a74d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Five-minute on-chain flow around the event (ATOM)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Confirmed CEX in</c:v>
          </c:tx>
          <c:marker>
            <c:symbol val="none"/>
          </c:marker>
          <c:cat>
            <c:strRef>
              <c:f>'Summary'!$F$34:$F$57</c:f>
              <c:strCache>
                <c:ptCount val="0"/>
              </c:strCache>
            </c:strRef>
          </c:cat>
          <c:val>
            <c:numRef>
              <c:f>'Summary'!$G$34:$G$57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Confirmed CEX out</c:v>
          </c:tx>
          <c:marker>
            <c:symbol val="none"/>
          </c:marker>
          <c:cat>
            <c:strRef>
              <c:f>'Summary'!$F$34:$F$57</c:f>
              <c:strCache>
                <c:ptCount val="0"/>
              </c:strCache>
            </c:strRef>
          </c:cat>
          <c:val>
            <c:numRef>
              <c:f>'Summary'!$H$34:$H$57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Structured candidate</c:v>
          </c:tx>
          <c:marker>
            <c:symbol val="none"/>
          </c:marker>
          <c:cat>
            <c:strRef>
              <c:f>'Summary'!$F$34:$F$57</c:f>
              <c:strCache>
                <c:ptCount val="0"/>
              </c:strCache>
            </c:strRef>
          </c:cat>
          <c:val>
            <c:numRef>
              <c:f>'Summary'!$I$34:$I$57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Large-flow watchlist</c:v>
          </c:tx>
          <c:marker>
            <c:symbol val="none"/>
          </c:marker>
          <c:cat>
            <c:strRef>
              <c:f>'Summary'!$F$34:$F$57</c:f>
              <c:strCache>
                <c:ptCount val="0"/>
              </c:strCache>
            </c:strRef>
          </c:cat>
          <c:val>
            <c:numRef>
              <c:f>'Summary'!$J$34:$J$57</c:f>
              <c:numCache>
                <c:formatCode>#,##0</c:formatCode>
                <c:ptCount val="0"/>
              </c:numCache>
            </c:numRef>
          </c:val>
          <c:smooth val="0"/>
        </c:ser>
        <c:ser>
          <c:idx val="4"/>
          <c:order val="4"/>
          <c:tx>
            <c:v>IBC inbound</c:v>
          </c:tx>
          <c:marker>
            <c:symbol val="none"/>
          </c:marker>
          <c:cat>
            <c:strRef>
              <c:f>'Summary'!$F$34:$F$57</c:f>
              <c:strCache>
                <c:ptCount val="0"/>
              </c:strCache>
            </c:strRef>
          </c:cat>
          <c:val>
            <c:numRef>
              <c:f>'Summary'!$K$34:$K$57</c:f>
              <c:numCache>
                <c:formatCode>#,##0</c:formatCode>
                <c:ptCount val="0"/>
              </c:numCache>
            </c:numRef>
          </c:val>
          <c:smooth val="0"/>
        </c:ser>
        <c:ser>
          <c:idx val="5"/>
          <c:order val="5"/>
          <c:tx>
            <c:v>IBC outbound</c:v>
          </c:tx>
          <c:marker>
            <c:symbol val="none"/>
          </c:marker>
          <c:cat>
            <c:strRef>
              <c:f>'Summary'!$F$34:$F$57</c:f>
              <c:strCache>
                <c:ptCount val="0"/>
              </c:strCache>
            </c:strRef>
          </c:cat>
          <c:val>
            <c:numRef>
              <c:f>'Summary'!$L$34:$L$57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Event activity versus shifted controls (ATOM)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Event</c:v>
          </c:tx>
          <c:cat>
            <c:strRef>
              <c:f>'Control Summary'!$A$13:$A$21</c:f>
              <c:strCache>
                <c:ptCount val="0"/>
              </c:strCache>
            </c:strRef>
          </c:cat>
          <c:val>
            <c:numRef>
              <c:f>'Control Summary'!$B$13:$B$21</c:f>
              <c:numCache>
                <c:formatCode>#,##0.000</c:formatCode>
                <c:ptCount val="0"/>
              </c:numCache>
            </c:numRef>
          </c:val>
        </c:ser>
        <c:ser>
          <c:idx val="1"/>
          <c:order val="1"/>
          <c:tx>
            <c:v>Pre-day matched</c:v>
          </c:tx>
          <c:cat>
            <c:strRef>
              <c:f>'Control Summary'!$A$13:$A$21</c:f>
              <c:strCache>
                <c:ptCount val="0"/>
              </c:strCache>
            </c:strRef>
          </c:cat>
          <c:val>
            <c:numRef>
              <c:f>'Control Summary'!$C$13:$C$21</c:f>
              <c:numCache>
                <c:formatCode>#,##0.000</c:formatCode>
                <c:ptCount val="0"/>
              </c:numCache>
            </c:numRef>
          </c:val>
        </c:ser>
        <c:ser>
          <c:idx val="2"/>
          <c:order val="2"/>
          <c:tx>
            <c:v>36-bin median</c:v>
          </c:tx>
          <c:cat>
            <c:strRef>
              <c:f>'Control Summary'!$A$13:$A$21</c:f>
              <c:strCache>
                <c:ptCount val="0"/>
              </c:strCache>
            </c:strRef>
          </c:cat>
          <c:val>
            <c:numRef>
              <c:f>'Control Summary'!$D$13:$D$21</c:f>
              <c:numCache>
                <c:formatCode>#,##0.000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Two-hour price range by venue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Binance USDT</c:v>
          </c:tx>
          <c:cat>
            <c:strRef>
              <c:f>'Market Controls'!$P$5:$P$9</c:f>
              <c:strCache>
                <c:ptCount val="0"/>
              </c:strCache>
            </c:strRef>
          </c:cat>
          <c:val>
            <c:numRef>
              <c:f>'Market Controls'!$Q$5:$Q$9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Binance USDC</c:v>
          </c:tx>
          <c:cat>
            <c:strRef>
              <c:f>'Market Controls'!$P$5:$P$9</c:f>
              <c:strCache>
                <c:ptCount val="0"/>
              </c:strCache>
            </c:strRef>
          </c:cat>
          <c:val>
            <c:numRef>
              <c:f>'Market Controls'!$R$5:$R$9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Futures</c:v>
          </c:tx>
          <c:cat>
            <c:strRef>
              <c:f>'Market Controls'!$P$5:$P$9</c:f>
              <c:strCache>
                <c:ptCount val="0"/>
              </c:strCache>
            </c:strRef>
          </c:cat>
          <c:val>
            <c:numRef>
              <c:f>'Market Controls'!$S$5:$S$9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Kraken USD</c:v>
          </c:tx>
          <c:cat>
            <c:strRef>
              <c:f>'Market Controls'!$P$5:$P$9</c:f>
              <c:strCache>
                <c:ptCount val="0"/>
              </c:strCache>
            </c:strRef>
          </c:cat>
          <c:val>
            <c:numRef>
              <c:f>'Market Controls'!$T$5:$T$9</c:f>
              <c:numCache>
                <c:formatCode>0.0%</c:formatCode>
                <c:ptCount val="0"/>
              </c:numCache>
            </c:numRef>
          </c:val>
        </c:ser>
        <c:ser>
          <c:idx val="4"/>
          <c:order val="4"/>
          <c:tx>
            <c:v>Coinbase USD</c:v>
          </c:tx>
          <c:cat>
            <c:strRef>
              <c:f>'Market Controls'!$P$5:$P$9</c:f>
              <c:strCache>
                <c:ptCount val="0"/>
              </c:strCache>
            </c:strRef>
          </c:cat>
          <c:val>
            <c:numRef>
              <c:f>'Market Controls'!$U$5:$U$9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Event-local flow versus market-stress correlation by lag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Confirmed only</c:v>
          </c:tx>
          <c:marker>
            <c:symbol val="none"/>
          </c:marker>
          <c:cat>
            <c:strRef>
              <c:f>'Lead Lag'!$A$35:$A$59</c:f>
              <c:strCache>
                <c:ptCount val="0"/>
              </c:strCache>
            </c:strRef>
          </c:cat>
          <c:val>
            <c:numRef>
              <c:f>'Lead Lag'!$B$35:$B$59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Confirmed + unconfirmed</c:v>
          </c:tx>
          <c:marker>
            <c:symbol val="none"/>
          </c:marker>
          <c:cat>
            <c:strRef>
              <c:f>'Lead Lag'!$A$35:$A$59</c:f>
              <c:strCache>
                <c:ptCount val="0"/>
              </c:strCache>
            </c:strRef>
          </c:cat>
          <c:val>
            <c:numRef>
              <c:f>'Lead Lag'!$C$35:$C$59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IBC inbound</c:v>
          </c:tx>
          <c:marker>
            <c:symbol val="none"/>
          </c:marker>
          <c:cat>
            <c:strRef>
              <c:f>'Lead Lag'!$A$35:$A$59</c:f>
              <c:strCache>
                <c:ptCount val="0"/>
              </c:strCache>
            </c:strRef>
          </c:cat>
          <c:val>
            <c:numRef>
              <c:f>'Lead Lag'!$D$35:$D$59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IBC outbound</c:v>
          </c:tx>
          <c:marker>
            <c:symbol val="none"/>
          </c:marker>
          <c:cat>
            <c:strRef>
              <c:f>'Lead Lag'!$A$35:$A$59</c:f>
              <c:strCache>
                <c:ptCount val="0"/>
              </c:strCache>
            </c:strRef>
          </c:cat>
          <c:val>
            <c:numRef>
              <c:f>'Lead Lag'!$E$35:$E$59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Event-window inflow by address definition (ATOM)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Event inflow (ATOM)</c:v>
          </c:tx>
          <c:cat>
            <c:strRef>
              <c:f>'Robustness'!$A$5:$A$7</c:f>
              <c:strCache>
                <c:ptCount val="0"/>
              </c:strCache>
            </c:strRef>
          </c:cat>
          <c:val>
            <c:numRef>
              <c:f>'Robustness'!$B$5:$B$7</c:f>
              <c:numCache>
                <c:formatCode>#,##0.000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a5e465dcd849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11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2dfb3346ba424d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15</xdr:col>
      <xdr:colOff>0</xdr:colOff>
      <xdr:row>10</xdr:row>
      <xdr:rowOff>0</xdr:rowOff>
    </xdr:from>
    <xdr:to>
      <xdr:col>24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30805a1d1945a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6</xdr:col>
      <xdr:colOff>0</xdr:colOff>
      <xdr:row>33</xdr:row>
      <xdr:rowOff>0</xdr:rowOff>
    </xdr:from>
    <xdr:to>
      <xdr:col>14</xdr:col>
      <xdr:colOff>0</xdr:colOff>
      <xdr:row>59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af2cf43362497d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13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27ac45c7a74d1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1d1f5b604e045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60502820cb847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32fad1e41ad74f1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4.xml" Id="R7e351ed757c3466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5.xml" Id="Rcb169fc806d74b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2" hidden="0" customWidth="1"/>
    <x:col min="4" max="4" width="48" hidden="0" customWidth="1"/>
  </x:cols>
  <x:sheetData>
    <x:row r="1" ht="32" customHeight="1">
      <x:c r="A1" s="20" t="str">
        <x:v>ATOM flash-crash analysis — publication extension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</x:row>
    <x:row r="2" ht="32" customHeight="1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</x:row>
    <x:row r="3" ht="21" customHeight="1"/>
    <x:row r="4" ht="21" customHeight="1">
      <x:c r="A4" s="9" t="str">
        <x:v>Metric</x:v>
      </x:c>
      <x:c r="B4" s="10" t="str">
        <x:v>Value</x:v>
      </x:c>
      <x:c r="C4" s="10" t="str">
        <x:v>Unit</x:v>
      </x:c>
      <x:c r="D4" s="11" t="str">
        <x:v>Interpretation</x:v>
      </x:c>
    </x:row>
    <x:row r="5" ht="21" customHeight="1">
      <x:c r="A5" s="12" t="str">
        <x:v>Event window</x:v>
      </x:c>
      <x:c r="B5" s="14" t="n">
        <x:v>2</x:v>
      </x:c>
      <x:c r="C5" s="12" t="str">
        <x:v>hours</x:v>
      </x:c>
      <x:c r="D5" s="12" t="str">
        <x:v>[2025-10-10T20:30:00Z, 2025-10-10T22:30:00Z)</x:v>
      </x:c>
    </x:row>
    <x:row r="6" ht="21" customHeight="1">
      <x:c r="A6" s="54" t="str">
        <x:v>All direct ATOM movement</x:v>
      </x:c>
      <x:c r="B6" s="55" t="n">
        <x:v>2721343.637883</x:v>
      </x:c>
      <x:c r="C6" s="54" t="str">
        <x:v>ATOM</x:v>
      </x:c>
      <x:c r="D6" s="54" t="str">
        <x:v>Gross transfer volume; not net economic flow</x:v>
      </x:c>
    </x:row>
    <x:row r="7" ht="21" customHeight="1">
      <x:c r="A7" s="54" t="str">
        <x:v>Structured candidate inflow</x:v>
      </x:c>
      <x:c r="B7" s="55" t="n">
        <x:v>1393999.777324</x:v>
      </x:c>
      <x:c r="C7" s="54" t="str">
        <x:v>ATOM</x:v>
      </x:c>
      <x:c r="D7" s="54" t="str">
        <x:v>Exchange-like behavior, including unconfirmed services</x:v>
      </x:c>
    </x:row>
    <x:row r="8" ht="21" customHeight="1">
      <x:c r="A8" s="23" t="str">
        <x:v>Large-flow watchlist inflow</x:v>
      </x:c>
      <x:c r="B8" s="24" t="n">
        <x:v>1101138.408901</x:v>
      </x:c>
      <x:c r="C8" s="23" t="str">
        <x:v>ATOM</x:v>
      </x:c>
      <x:c r="D8" s="23" t="str">
        <x:v>Separated from exchange-like candidates</x:v>
      </x:c>
    </x:row>
    <x:row r="9" ht="21" customHeight="1">
      <x:c r="A9" s="56" t="str">
        <x:v>Confirmed exchange inflow</x:v>
      </x:c>
      <x:c r="B9" s="57" t="n">
        <x:v>188053.420087</x:v>
      </x:c>
      <x:c r="C9" s="56" t="str">
        <x:v>ATOM</x:v>
      </x:c>
      <x:c r="D9" s="56" t="str">
        <x:v>Binance, KuCoin, MEXC, HitBTC</x:v>
      </x:c>
    </x:row>
    <x:row r="10" ht="21" customHeight="1">
      <x:c r="A10" s="56" t="str">
        <x:v>Confirmed exchange outflow</x:v>
      </x:c>
      <x:c r="B10" s="57" t="n">
        <x:f>SUM('Exchanges'!$F$2:$F$5)</x:f>
        <x:v>195398.332856</x:v>
      </x:c>
      <x:c r="C10" s="56" t="str">
        <x:v>ATOM</x:v>
      </x:c>
      <x:c r="D10" s="56" t="str">
        <x:v>Formula: sum of labeled-address outflows</x:v>
      </x:c>
    </x:row>
    <x:row r="11" ht="21" customHeight="1">
      <x:c r="A11" s="56" t="str">
        <x:v>Confirmed exchange net inflow</x:v>
      </x:c>
      <x:c r="B11" s="57" t="n">
        <x:f>B9-B10</x:f>
        <x:v>-7344.912768999988</x:v>
      </x:c>
      <x:c r="C11" s="56" t="str">
        <x:v>ATOM</x:v>
      </x:c>
      <x:c r="D11" s="56" t="str">
        <x:v>Near zero/negative because shared wallets also sweep funds</x:v>
      </x:c>
    </x:row>
    <x:row r="12" ht="21" customHeight="1">
      <x:c r="A12" s="58" t="str">
        <x:v>IBC inbound</x:v>
      </x:c>
      <x:c r="B12" s="59" t="n">
        <x:v>277987.972547</x:v>
      </x:c>
      <x:c r="C12" s="58" t="str">
        <x:v>ATOM</x:v>
      </x:c>
      <x:c r="D12" s="58" t="str">
        <x:v>Native ATOM returned to Cosmos Hub</x:v>
      </x:c>
    </x:row>
    <x:row r="13" ht="21" customHeight="1">
      <x:c r="A13" s="58" t="str">
        <x:v>IBC outbound</x:v>
      </x:c>
      <x:c r="B13" s="59" t="n">
        <x:v>450890.178305</x:v>
      </x:c>
      <x:c r="C13" s="58" t="str">
        <x:v>ATOM</x:v>
      </x:c>
      <x:c r="D13" s="58" t="str">
        <x:v>Native ATOM sent from Cosmos Hub</x:v>
      </x:c>
    </x:row>
    <x:row r="14" ht="21" customHeight="1">
      <x:c r="A14" s="60" t="str">
        <x:v>IBC net inbound</x:v>
      </x:c>
      <x:c r="B14" s="61" t="n">
        <x:f>B12-B13</x:f>
        <x:v>-172902.20575800003</x:v>
      </x:c>
      <x:c r="C14" s="60" t="str">
        <x:v>ATOM</x:v>
      </x:c>
      <x:c r="D14" s="60" t="str">
        <x:v>Negative means net outbound from Cosmos Hub</x:v>
      </x:c>
    </x:row>
    <x:row r="15" ht="21" customHeight="1"/>
    <x:row r="16" ht="21" customHeight="1">
      <x:c r="A16" s="45" t="str">
        <x:v>Primary interpretation</x:v>
      </x:c>
      <x:c r="B16" s="45"/>
      <x:c r="C16" s="45"/>
      <x:c r="D16" s="45"/>
    </x:row>
    <x:row r="17" ht="32" customHeight="1">
      <x:c r="A17" s="49" t="str">
        <x:v>Against 360 pre-event two-hour windows, the Binance ATOM/USDT range was at the 100.0th empirical percentile (p=0.0028). Confirmed-label exchange inflow was 188,053.42 ATOM (93.9th percentile; p=0.0637), while confirmed plus unconfirmed behavioral candidates totaled 1,582,053.197 ATOM (p=0.0139). IBC outbound was 450,890.178 ATOM (p=0.0139). Primary inference uses only four public-record labels. Without historical Binance order-book snapshots, the pattern is consistent with a pair-specific liquidity or market-microstructure disruption, but does not prove liquidity depletion.</x:v>
      </x:c>
      <x:c r="B17" s="49"/>
      <x:c r="C17" s="49"/>
      <x:c r="D17" s="49"/>
    </x:row>
    <x:row r="18" ht="32" customHeight="1">
      <x:c r="A18" s="49"/>
      <x:c r="B18" s="49"/>
      <x:c r="C18" s="49"/>
      <x:c r="D18" s="49"/>
    </x:row>
    <x:row r="19" ht="32" customHeight="1">
      <x:c r="A19" s="49"/>
      <x:c r="B19" s="49"/>
      <x:c r="C19" s="49"/>
      <x:c r="D19" s="49"/>
    </x:row>
    <x:row r="20" ht="32" customHeight="1">
      <x:c r="A20" s="49"/>
      <x:c r="B20" s="49"/>
      <x:c r="C20" s="49"/>
      <x:c r="D20" s="49"/>
    </x:row>
    <x:row r="21" ht="21" customHeight="1"/>
    <x:row r="22" ht="21" customHeight="1">
      <x:c r="A22" s="9" t="str">
        <x:v>Reproducibility</x:v>
      </x:c>
      <x:c r="B22" s="10" t="str">
        <x:v>Status</x:v>
      </x:c>
      <x:c r="C22" s="10" t="str">
        <x:v>Source</x:v>
      </x:c>
      <x:c r="D22" s="11" t="str">
        <x:v>Note</x:v>
      </x:c>
    </x:row>
    <x:row r="23" ht="21" customHeight="1">
      <x:c r="A23" s="12" t="str">
        <x:v>Tx protobuf decoding</x:v>
      </x:c>
      <x:c r="B23" s="12" t="str">
        <x:v>0 errors</x:v>
      </x:c>
      <x:c r="C23" s="12" t="str">
        <x:v>Methods sheet</x:v>
      </x:c>
      <x:c r="D23" s="12" t="str">
        <x:v>161,755 transactions scanned</x:v>
      </x:c>
    </x:row>
    <x:row r="24" ht="21" customHeight="1">
      <x:c r="A24" s="13" t="str">
        <x:v>IBC packet decoding</x:v>
      </x:c>
      <x:c r="B24" s="13" t="str">
        <x:v>0 errors</x:v>
      </x:c>
      <x:c r="C24" s="13" t="str">
        <x:v>Methods sheet</x:v>
      </x:c>
      <x:c r="D24" s="13" t="str">
        <x:v>34,770 IBC transfers extracted</x:v>
      </x:c>
    </x:row>
    <x:row r="25" ht="21" customHeight="1">
      <x:c r="A25" s="13" t="str">
        <x:v>Public exchange labels</x:v>
      </x:c>
      <x:c r="B25" s="13" t="str">
        <x:v>4 addresses</x:v>
      </x:c>
      <x:c r="C25" s="13" t="str">
        <x:v>Methods sheet</x:v>
      </x:c>
      <x:c r="D25" s="13" t="str">
        <x:v>Exact-address evidence retained</x:v>
      </x:c>
    </x:row>
    <x:row r="26" ht="21" customHeight="1">
      <x:c r="A26" s="13" t="str">
        <x:v>Publication controls</x:v>
      </x:c>
      <x:c r="B26" s="13" t="str">
        <x:v>360 + 30 windows</x:v>
      </x:c>
      <x:c r="C26" s="13" t="str">
        <x:v>30d Tests</x:v>
      </x:c>
      <x:c r="D26" s="13" t="str">
        <x:v>30 pre-event days; matched-clock sensitivity separate</x:v>
      </x:c>
    </x:row>
    <x:row r="27" ht="21" customHeight="1">
      <x:c r="A27" s="13" t="str">
        <x:v>30-day Cosmos baseline</x:v>
      </x:c>
      <x:c r="B27" s="13" t="str">
        <x:v>PASS</x:v>
      </x:c>
      <x:c r="C27" s="13" t="str">
        <x:v>Methods sheet</x:v>
      </x:c>
      <x:c r="D27" s="13" t="str">
        <x:v>Exact 2025-10-09 overlap reconciliation</x:v>
      </x:c>
    </x:row>
    <x:row r="28" ht="21" customHeight="1">
      <x:c r="A28" s="52" t="str">
        <x:v>Publication statistics</x:v>
      </x:c>
      <x:c r="B28" s="52" t="str">
        <x:v>PASS</x:v>
      </x:c>
      <x:c r="C28" s="52" t="str">
        <x:v>Methods sheet</x:v>
      </x:c>
      <x:c r="D28" s="52" t="str">
        <x:v>Window tests and lead-lag extrema independently recalculated</x:v>
      </x:c>
    </x:row>
    <x:row r="33">
      <x:c r="F33" t="str">
        <x:v>UTC</x:v>
      </x:c>
      <x:c r="G33" t="str">
        <x:v>Confirmed CEX in</x:v>
      </x:c>
      <x:c r="H33" t="str">
        <x:v>Confirmed CEX out</x:v>
      </x:c>
      <x:c r="I33" t="str">
        <x:v>Structured candidate</x:v>
      </x:c>
      <x:c r="J33" t="str">
        <x:v>Large-flow watchlist</x:v>
      </x:c>
      <x:c r="K33" t="str">
        <x:v>IBC inbound</x:v>
      </x:c>
      <x:c r="L33" t="str">
        <x:v>IBC outbound</x:v>
      </x:c>
    </x:row>
    <x:row r="34">
      <x:c r="F34" t="str">
        <x:f>'5min Series'!A2</x:f>
        <x:v>20:30</x:v>
      </x:c>
      <x:c r="G34" t="n">
        <x:f>'5min Series'!B2</x:f>
        <x:v>1087.448925</x:v>
      </x:c>
      <x:c r="H34" t="n">
        <x:f>'5min Series'!C2</x:f>
        <x:v>0.95</x:v>
      </x:c>
      <x:c r="I34" t="n">
        <x:f>'5min Series'!D2</x:f>
        <x:v>10101.508637</x:v>
      </x:c>
      <x:c r="J34" t="n">
        <x:f>'5min Series'!E2</x:f>
        <x:v>2922.359994</x:v>
      </x:c>
      <x:c r="K34" t="n">
        <x:f>'5min Series'!F2</x:f>
        <x:v>195.770794</x:v>
      </x:c>
      <x:c r="L34" t="n">
        <x:f>'5min Series'!G2</x:f>
        <x:v>95.266701</x:v>
      </x:c>
    </x:row>
    <x:row r="35">
      <x:c r="F35" t="str">
        <x:f>'5min Series'!A3</x:f>
        <x:v>20:35</x:v>
      </x:c>
      <x:c r="G35" t="n">
        <x:f>'5min Series'!B3</x:f>
        <x:v>90.147182</x:v>
      </x:c>
      <x:c r="H35" t="n">
        <x:f>'5min Series'!C3</x:f>
        <x:v>852.682293</x:v>
      </x:c>
      <x:c r="I35" t="n">
        <x:f>'5min Series'!D3</x:f>
        <x:v>480.102049</x:v>
      </x:c>
      <x:c r="J35" t="n">
        <x:f>'5min Series'!E3</x:f>
        <x:v>852.682293</x:v>
      </x:c>
      <x:c r="K35" t="n">
        <x:f>'5min Series'!F3</x:f>
        <x:v>4237.321482</x:v>
      </x:c>
      <x:c r="L35" t="n">
        <x:f>'5min Series'!G3</x:f>
        <x:v>4245.963729</x:v>
      </x:c>
    </x:row>
    <x:row r="36">
      <x:c r="F36" t="str">
        <x:f>'5min Series'!A4</x:f>
        <x:v>20:40</x:v>
      </x:c>
      <x:c r="G36" t="n">
        <x:f>'5min Series'!B4</x:f>
        <x:v>17.213253</x:v>
      </x:c>
      <x:c r="H36" t="n">
        <x:f>'5min Series'!C4</x:f>
        <x:v>2.76</x:v>
      </x:c>
      <x:c r="I36" t="n">
        <x:f>'5min Series'!D4</x:f>
        <x:v>5445.757793</x:v>
      </x:c>
      <x:c r="J36" t="n">
        <x:f>'5min Series'!E4</x:f>
        <x:v>656.771395</x:v>
      </x:c>
      <x:c r="K36" t="n">
        <x:f>'5min Series'!F4</x:f>
        <x:v>229.041397</x:v>
      </x:c>
      <x:c r="L36" t="n">
        <x:f>'5min Series'!G4</x:f>
        <x:v>236.59591</x:v>
      </x:c>
    </x:row>
    <x:row r="37">
      <x:c r="F37" t="str">
        <x:f>'5min Series'!A5</x:f>
        <x:v>20:45</x:v>
      </x:c>
      <x:c r="G37" t="n">
        <x:f>'5min Series'!B5</x:f>
        <x:v>265.85</x:v>
      </x:c>
      <x:c r="H37" t="n">
        <x:f>'5min Series'!C5</x:f>
        <x:v>65.847</x:v>
      </x:c>
      <x:c r="I37" t="n">
        <x:f>'5min Series'!D5</x:f>
        <x:v>5088.169383</x:v>
      </x:c>
      <x:c r="J37" t="n">
        <x:f>'5min Series'!E5</x:f>
        <x:v>14026.837</x:v>
      </x:c>
      <x:c r="K37" t="n">
        <x:f>'5min Series'!F5</x:f>
        <x:v>38.783366</x:v>
      </x:c>
      <x:c r="L37" t="n">
        <x:f>'5min Series'!G5</x:f>
        <x:v>28.567608</x:v>
      </x:c>
    </x:row>
    <x:row r="38">
      <x:c r="F38" t="str">
        <x:f>'5min Series'!A6</x:f>
        <x:v>20:50</x:v>
      </x:c>
      <x:c r="G38" t="n">
        <x:f>'5min Series'!B6</x:f>
        <x:v>559.485714</x:v>
      </x:c>
      <x:c r="H38" t="n">
        <x:f>'5min Series'!C6</x:f>
        <x:v>168.488297</x:v>
      </x:c>
      <x:c r="I38" t="n">
        <x:f>'5min Series'!D6</x:f>
        <x:v>9309.557894</x:v>
      </x:c>
      <x:c r="J38" t="n">
        <x:f>'5min Series'!E6</x:f>
        <x:v>17405.33169</x:v>
      </x:c>
      <x:c r="K38" t="n">
        <x:f>'5min Series'!F6</x:f>
        <x:v>609.893339</x:v>
      </x:c>
      <x:c r="L38" t="n">
        <x:f>'5min Series'!G6</x:f>
        <x:v>18030.995566</x:v>
      </x:c>
    </x:row>
    <x:row r="39">
      <x:c r="F39" t="str">
        <x:f>'5min Series'!A7</x:f>
        <x:v>20:55</x:v>
      </x:c>
      <x:c r="G39" t="n">
        <x:f>'5min Series'!B7</x:f>
        <x:v>3488.67</x:v>
      </x:c>
      <x:c r="H39" t="n">
        <x:f>'5min Series'!C7</x:f>
        <x:v>3181.157714</x:v>
      </x:c>
      <x:c r="I39" t="n">
        <x:f>'5min Series'!D7</x:f>
        <x:v>34856.438615</x:v>
      </x:c>
      <x:c r="J39" t="n">
        <x:f>'5min Series'!E7</x:f>
        <x:v>18548.692714</x:v>
      </x:c>
      <x:c r="K39" t="n">
        <x:f>'5min Series'!F7</x:f>
        <x:v>2331.596812</x:v>
      </x:c>
      <x:c r="L39" t="n">
        <x:f>'5min Series'!G7</x:f>
        <x:v>10262.572736</x:v>
      </x:c>
    </x:row>
    <x:row r="40">
      <x:c r="F40" t="str">
        <x:f>'5min Series'!A8</x:f>
        <x:v>21:00</x:v>
      </x:c>
      <x:c r="G40" t="n">
        <x:f>'5min Series'!B8</x:f>
        <x:v>5045.760328</x:v>
      </x:c>
      <x:c r="H40" t="n">
        <x:f>'5min Series'!C8</x:f>
        <x:v>0</x:v>
      </x:c>
      <x:c r="I40" t="n">
        <x:f>'5min Series'!D8</x:f>
        <x:v>76918.459574</x:v>
      </x:c>
      <x:c r="J40" t="n">
        <x:f>'5min Series'!E8</x:f>
        <x:v>135945.547092</x:v>
      </x:c>
      <x:c r="K40" t="n">
        <x:f>'5min Series'!F8</x:f>
        <x:v>1555.34717</x:v>
      </x:c>
      <x:c r="L40" t="n">
        <x:f>'5min Series'!G8</x:f>
        <x:v>8168.556936</x:v>
      </x:c>
    </x:row>
    <x:row r="41">
      <x:c r="F41" t="str">
        <x:f>'5min Series'!A9</x:f>
        <x:v>21:05</x:v>
      </x:c>
      <x:c r="G41" t="n">
        <x:f>'5min Series'!B9</x:f>
        <x:v>1236.868748</x:v>
      </x:c>
      <x:c r="H41" t="n">
        <x:f>'5min Series'!C9</x:f>
        <x:v>6953.578182</x:v>
      </x:c>
      <x:c r="I41" t="n">
        <x:f>'5min Series'!D9</x:f>
        <x:v>54551.886753</x:v>
      </x:c>
      <x:c r="J41" t="n">
        <x:f>'5min Series'!E9</x:f>
        <x:v>10428.593182</x:v>
      </x:c>
      <x:c r="K41" t="n">
        <x:f>'5min Series'!F9</x:f>
        <x:v>6507.979473</x:v>
      </x:c>
      <x:c r="L41" t="n">
        <x:f>'5min Series'!G9</x:f>
        <x:v>7174.933471</x:v>
      </x:c>
    </x:row>
    <x:row r="42">
      <x:c r="F42" t="str">
        <x:f>'5min Series'!A10</x:f>
        <x:v>21:10</x:v>
      </x:c>
      <x:c r="G42" t="n">
        <x:f>'5min Series'!B10</x:f>
        <x:v>3602.159926</x:v>
      </x:c>
      <x:c r="H42" t="n">
        <x:f>'5min Series'!C10</x:f>
        <x:v>147.535</x:v>
      </x:c>
      <x:c r="I42" t="n">
        <x:f>'5min Series'!D10</x:f>
        <x:v>44112.138653</x:v>
      </x:c>
      <x:c r="J42" t="n">
        <x:f>'5min Series'!E10</x:f>
        <x:v>11768.584296</x:v>
      </x:c>
      <x:c r="K42" t="n">
        <x:f>'5min Series'!F10</x:f>
        <x:v>817.792355</x:v>
      </x:c>
      <x:c r="L42" t="n">
        <x:f>'5min Series'!G10</x:f>
        <x:v>6863.593422</x:v>
      </x:c>
    </x:row>
    <x:row r="43">
      <x:c r="F43" t="str">
        <x:f>'5min Series'!A11</x:f>
        <x:v>21:15</x:v>
      </x:c>
      <x:c r="G43" t="n">
        <x:f>'5min Series'!B11</x:f>
        <x:v>9110.730088</x:v>
      </x:c>
      <x:c r="H43" t="n">
        <x:f>'5min Series'!C11</x:f>
        <x:v>10924.899496</x:v>
      </x:c>
      <x:c r="I43" t="n">
        <x:f>'5min Series'!D11</x:f>
        <x:v>81626.705056</x:v>
      </x:c>
      <x:c r="J43" t="n">
        <x:f>'5min Series'!E11</x:f>
        <x:v>22062.7939</x:v>
      </x:c>
      <x:c r="K43" t="n">
        <x:f>'5min Series'!F11</x:f>
        <x:v>5612.214417</x:v>
      </x:c>
      <x:c r="L43" t="n">
        <x:f>'5min Series'!G11</x:f>
        <x:v>16358.412237</x:v>
      </x:c>
    </x:row>
    <x:row r="44">
      <x:c r="F44" t="str">
        <x:f>'5min Series'!A12</x:f>
        <x:v>21:20</x:v>
      </x:c>
      <x:c r="G44" t="n">
        <x:f>'5min Series'!B12</x:f>
        <x:v>7420.717359</x:v>
      </x:c>
      <x:c r="H44" t="n">
        <x:f>'5min Series'!C12</x:f>
        <x:v>1508.895</x:v>
      </x:c>
      <x:c r="I44" t="n">
        <x:f>'5min Series'!D12</x:f>
        <x:v>30809.417943</x:v>
      </x:c>
      <x:c r="J44" t="n">
        <x:f>'5min Series'!E12</x:f>
        <x:v>16054.78977</x:v>
      </x:c>
      <x:c r="K44" t="n">
        <x:f>'5min Series'!F12</x:f>
        <x:v>3598.196384</x:v>
      </x:c>
      <x:c r="L44" t="n">
        <x:f>'5min Series'!G12</x:f>
        <x:v>7726.566827</x:v>
      </x:c>
    </x:row>
    <x:row r="45">
      <x:c r="F45" t="str">
        <x:f>'5min Series'!A13</x:f>
        <x:v>21:25</x:v>
      </x:c>
      <x:c r="G45" t="n">
        <x:f>'5min Series'!B13</x:f>
        <x:v>4451.214355</x:v>
      </x:c>
      <x:c r="H45" t="n">
        <x:f>'5min Series'!C13</x:f>
        <x:v>10006.904977</x:v>
      </x:c>
      <x:c r="I45" t="n">
        <x:f>'5min Series'!D13</x:f>
        <x:v>29432.014265</x:v>
      </x:c>
      <x:c r="J45" t="n">
        <x:f>'5min Series'!E13</x:f>
        <x:v>23906.967091</x:v>
      </x:c>
      <x:c r="K45" t="n">
        <x:f>'5min Series'!F13</x:f>
        <x:v>8621.196615</x:v>
      </x:c>
      <x:c r="L45" t="n">
        <x:f>'5min Series'!G13</x:f>
        <x:v>6538.921648</x:v>
      </x:c>
    </x:row>
    <x:row r="46">
      <x:c r="F46" t="str">
        <x:f>'5min Series'!A14</x:f>
        <x:v>21:30</x:v>
      </x:c>
      <x:c r="G46" t="n">
        <x:f>'5min Series'!B14</x:f>
        <x:v>2772.414</x:v>
      </x:c>
      <x:c r="H46" t="n">
        <x:f>'5min Series'!C14</x:f>
        <x:v>2000</x:v>
      </x:c>
      <x:c r="I46" t="n">
        <x:f>'5min Series'!D14</x:f>
        <x:v>23340.905448</x:v>
      </x:c>
      <x:c r="J46" t="n">
        <x:f>'5min Series'!E14</x:f>
        <x:v>7768.957</x:v>
      </x:c>
      <x:c r="K46" t="n">
        <x:f>'5min Series'!F14</x:f>
        <x:v>3296.397103</x:v>
      </x:c>
      <x:c r="L46" t="n">
        <x:f>'5min Series'!G14</x:f>
        <x:v>5118.538206</x:v>
      </x:c>
    </x:row>
    <x:row r="47">
      <x:c r="F47" t="str">
        <x:f>'5min Series'!A15</x:f>
        <x:v>21:35</x:v>
      </x:c>
      <x:c r="G47" t="n">
        <x:f>'5min Series'!B15</x:f>
        <x:v>1367.202753</x:v>
      </x:c>
      <x:c r="H47" t="n">
        <x:f>'5min Series'!C15</x:f>
        <x:v>7009.663902</x:v>
      </x:c>
      <x:c r="I47" t="n">
        <x:f>'5min Series'!D15</x:f>
        <x:v>2347.661488</x:v>
      </x:c>
      <x:c r="J47" t="n">
        <x:f>'5min Series'!E15</x:f>
        <x:v>9353.378996</x:v>
      </x:c>
      <x:c r="K47" t="n">
        <x:f>'5min Series'!F15</x:f>
        <x:v>5384.670525</x:v>
      </x:c>
      <x:c r="L47" t="n">
        <x:f>'5min Series'!G15</x:f>
        <x:v>6015.169303</x:v>
      </x:c>
    </x:row>
    <x:row r="48">
      <x:c r="F48" t="str">
        <x:f>'5min Series'!A16</x:f>
        <x:v>21:40</x:v>
      </x:c>
      <x:c r="G48" t="n">
        <x:f>'5min Series'!B16</x:f>
        <x:v>8909.731982</x:v>
      </x:c>
      <x:c r="H48" t="n">
        <x:f>'5min Series'!C16</x:f>
        <x:v>13762.135774</x:v>
      </x:c>
      <x:c r="I48" t="n">
        <x:f>'5min Series'!D16</x:f>
        <x:v>18797.705719</x:v>
      </x:c>
      <x:c r="J48" t="n">
        <x:f>'5min Series'!E16</x:f>
        <x:v>33832.830655</x:v>
      </x:c>
      <x:c r="K48" t="n">
        <x:f>'5min Series'!F16</x:f>
        <x:v>8426.382765</x:v>
      </x:c>
      <x:c r="L48" t="n">
        <x:f>'5min Series'!G16</x:f>
        <x:v>177608.655554</x:v>
      </x:c>
    </x:row>
    <x:row r="49">
      <x:c r="F49" t="str">
        <x:f>'5min Series'!A17</x:f>
        <x:v>21:45</x:v>
      </x:c>
      <x:c r="G49" t="n">
        <x:f>'5min Series'!B17</x:f>
        <x:v>15437.609084</x:v>
      </x:c>
      <x:c r="H49" t="n">
        <x:f>'5min Series'!C17</x:f>
        <x:v>16885.170567</x:v>
      </x:c>
      <x:c r="I49" t="n">
        <x:f>'5min Series'!D17</x:f>
        <x:v>109539.750679</x:v>
      </x:c>
      <x:c r="J49" t="n">
        <x:f>'5min Series'!E17</x:f>
        <x:v>65165.91581</x:v>
      </x:c>
      <x:c r="K49" t="n">
        <x:f>'5min Series'!F17</x:f>
        <x:v>3871.593394</x:v>
      </x:c>
      <x:c r="L49" t="n">
        <x:f>'5min Series'!G17</x:f>
        <x:v>15959.732223</x:v>
      </x:c>
    </x:row>
    <x:row r="50">
      <x:c r="F50" t="str">
        <x:f>'5min Series'!A18</x:f>
        <x:v>21:50</x:v>
      </x:c>
      <x:c r="G50" t="n">
        <x:f>'5min Series'!B18</x:f>
        <x:v>11456.151368</x:v>
      </x:c>
      <x:c r="H50" t="n">
        <x:f>'5min Series'!C18</x:f>
        <x:v>7.34</x:v>
      </x:c>
      <x:c r="I50" t="n">
        <x:f>'5min Series'!D18</x:f>
        <x:v>144252.342441</x:v>
      </x:c>
      <x:c r="J50" t="n">
        <x:f>'5min Series'!E18</x:f>
        <x:v>21616.660421</x:v>
      </x:c>
      <x:c r="K50" t="n">
        <x:f>'5min Series'!F18</x:f>
        <x:v>11135.125917</x:v>
      </x:c>
      <x:c r="L50" t="n">
        <x:f>'5min Series'!G18</x:f>
        <x:v>13848.004441</x:v>
      </x:c>
    </x:row>
    <x:row r="51">
      <x:c r="F51" t="str">
        <x:f>'5min Series'!A19</x:f>
        <x:v>21:55</x:v>
      </x:c>
      <x:c r="G51" t="n">
        <x:f>'5min Series'!B19</x:f>
        <x:v>15901.77804</x:v>
      </x:c>
      <x:c r="H51" t="n">
        <x:f>'5min Series'!C19</x:f>
        <x:v>28043.830036</x:v>
      </x:c>
      <x:c r="I51" t="n">
        <x:f>'5min Series'!D19</x:f>
        <x:v>78008.374085</x:v>
      </x:c>
      <x:c r="J51" t="n">
        <x:f>'5min Series'!E19</x:f>
        <x:v>32198.141192</x:v>
      </x:c>
      <x:c r="K51" t="n">
        <x:f>'5min Series'!F19</x:f>
        <x:v>26347.369779</x:v>
      </x:c>
      <x:c r="L51" t="n">
        <x:f>'5min Series'!G19</x:f>
        <x:v>7087.066669</x:v>
      </x:c>
    </x:row>
    <x:row r="52">
      <x:c r="F52" t="str">
        <x:f>'5min Series'!A20</x:f>
        <x:v>22:00</x:v>
      </x:c>
      <x:c r="G52" t="n">
        <x:f>'5min Series'!B20</x:f>
        <x:v>5967.338</x:v>
      </x:c>
      <x:c r="H52" t="n">
        <x:f>'5min Series'!C20</x:f>
        <x:v>0</x:v>
      </x:c>
      <x:c r="I52" t="n">
        <x:f>'5min Series'!D20</x:f>
        <x:v>52702.897934</x:v>
      </x:c>
      <x:c r="J52" t="n">
        <x:f>'5min Series'!E20</x:f>
        <x:v>183646.718952</x:v>
      </x:c>
      <x:c r="K52" t="n">
        <x:f>'5min Series'!F20</x:f>
        <x:v>52953.40023</x:v>
      </x:c>
      <x:c r="L52" t="n">
        <x:f>'5min Series'!G20</x:f>
        <x:v>41735.203032</x:v>
      </x:c>
    </x:row>
    <x:row r="53">
      <x:c r="F53" t="str">
        <x:f>'5min Series'!A21</x:f>
        <x:v>22:05</x:v>
      </x:c>
      <x:c r="G53" t="n">
        <x:f>'5min Series'!B21</x:f>
        <x:v>9645.415</x:v>
      </x:c>
      <x:c r="H53" t="n">
        <x:f>'5min Series'!C21</x:f>
        <x:v>9454.387548</x:v>
      </x:c>
      <x:c r="I53" t="n">
        <x:f>'5min Series'!D21</x:f>
        <x:v>58398.220896</x:v>
      </x:c>
      <x:c r="J53" t="n">
        <x:f>'5min Series'!E21</x:f>
        <x:v>24647.116768</x:v>
      </x:c>
      <x:c r="K53" t="n">
        <x:f>'5min Series'!F21</x:f>
        <x:v>18440.427598</x:v>
      </x:c>
      <x:c r="L53" t="n">
        <x:f>'5min Series'!G21</x:f>
        <x:v>13378.144739</x:v>
      </x:c>
    </x:row>
    <x:row r="54">
      <x:c r="F54" t="str">
        <x:f>'5min Series'!A22</x:f>
        <x:v>22:10</x:v>
      </x:c>
      <x:c r="G54" t="n">
        <x:f>'5min Series'!B22</x:f>
        <x:v>5914.47895</x:v>
      </x:c>
      <x:c r="H54" t="n">
        <x:f>'5min Series'!C22</x:f>
        <x:v>0</x:v>
      </x:c>
      <x:c r="I54" t="n">
        <x:f>'5min Series'!D22</x:f>
        <x:v>88063.874382</x:v>
      </x:c>
      <x:c r="J54" t="n">
        <x:f>'5min Series'!E22</x:f>
        <x:v>49375.476215</x:v>
      </x:c>
      <x:c r="K54" t="n">
        <x:f>'5min Series'!F22</x:f>
        <x:v>21325.544102</x:v>
      </x:c>
      <x:c r="L54" t="n">
        <x:f>'5min Series'!G22</x:f>
        <x:v>17759.415409</x:v>
      </x:c>
    </x:row>
    <x:row r="55">
      <x:c r="F55" t="str">
        <x:f>'5min Series'!A23</x:f>
        <x:v>22:15</x:v>
      </x:c>
      <x:c r="G55" t="n">
        <x:f>'5min Series'!B23</x:f>
        <x:v>5418.497434</x:v>
      </x:c>
      <x:c r="H55" t="n">
        <x:f>'5min Series'!C23</x:f>
        <x:v>16590.748013</x:v>
      </x:c>
      <x:c r="I55" t="n">
        <x:f>'5min Series'!D23</x:f>
        <x:v>132031.286168</x:v>
      </x:c>
      <x:c r="J55" t="n">
        <x:f>'5min Series'!E23</x:f>
        <x:v>55082.028926</x:v>
      </x:c>
      <x:c r="K55" t="n">
        <x:f>'5min Series'!F23</x:f>
        <x:v>22003.861795</x:v>
      </x:c>
      <x:c r="L55" t="n">
        <x:f>'5min Series'!G23</x:f>
        <x:v>23736.432952</x:v>
      </x:c>
    </x:row>
    <x:row r="56">
      <x:c r="F56" t="str">
        <x:f>'5min Series'!A24</x:f>
        <x:v>22:20</x:v>
      </x:c>
      <x:c r="G56" t="n">
        <x:f>'5min Series'!B24</x:f>
        <x:v>64103.717476</x:v>
      </x:c>
      <x:c r="H56" t="n">
        <x:f>'5min Series'!C24</x:f>
        <x:v>61310.368</x:v>
      </x:c>
      <x:c r="I56" t="n">
        <x:f>'5min Series'!D24</x:f>
        <x:v>151146.348926</x:v>
      </x:c>
      <x:c r="J56" t="n">
        <x:f>'5min Series'!E24</x:f>
        <x:v>265857.494406</x:v>
      </x:c>
      <x:c r="K56" t="n">
        <x:f>'5min Series'!F24</x:f>
        <x:v>59523.015621</x:v>
      </x:c>
      <x:c r="L56" t="n">
        <x:f>'5min Series'!G24</x:f>
        <x:v>26612.364726</x:v>
      </x:c>
    </x:row>
    <x:row r="57">
      <x:c r="F57" t="str">
        <x:f>'5min Series'!A25</x:f>
        <x:v>22:25</x:v>
      </x:c>
      <x:c r="G57" t="n">
        <x:f>'5min Series'!B25</x:f>
        <x:v>4782.820122</x:v>
      </x:c>
      <x:c r="H57" t="n">
        <x:f>'5min Series'!C25</x:f>
        <x:v>6520.991057</x:v>
      </x:c>
      <x:c r="I57" t="n">
        <x:f>'5min Series'!D25</x:f>
        <x:v>152638.252543</x:v>
      </x:c>
      <x:c r="J57" t="n">
        <x:f>'5min Series'!E25</x:f>
        <x:v>78013.739143</x:v>
      </x:c>
      <x:c r="K57" t="n">
        <x:f>'5min Series'!F25</x:f>
        <x:v>10925.050114</x:v>
      </x:c>
      <x:c r="L57" t="n">
        <x:f>'5min Series'!G25</x:f>
        <x:v>16300.50426</x:v>
      </x:c>
    </x:row>
  </x:sheetData>
  <x:mergeCells>
    <x:mergeCell ref="A1:N2"/>
    <x:mergeCell ref="A16:D16"/>
    <x:mergeCell ref="A17:D20"/>
  </x:mergeCells>
  <x:pageMargins left="0.7" right="0.7" top="0.75" bottom="0.75" header="0.3" footer="0.3"/>
  <x:drawing xmlns:r="http://schemas.openxmlformats.org/officeDocument/2006/relationships" r:id="R81d1f5b604e0451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9" hidden="0" customWidth="1"/>
    <x:col min="3" max="3" width="2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32" customHeight="1">
      <x:c r="A1" s="20" t="str">
        <x:v>Event window versus shifted two-hour controls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</x:row>
    <x:row r="2" ht="32" customHeight="1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4">
      <x:c r="A4" s="9" t="str">
        <x:v>Window</x:v>
      </x:c>
      <x:c r="B4" s="10" t="str">
        <x:v>Role</x:v>
      </x:c>
      <x:c r="C4" s="10" t="str">
        <x:v>Start UTC</x:v>
      </x:c>
      <x:c r="D4" s="10" t="str">
        <x:v>Direct ATOM</x:v>
      </x:c>
      <x:c r="E4" s="10" t="str">
        <x:v>Structured in</x:v>
      </x:c>
      <x:c r="F4" s="10" t="str">
        <x:v>Watchlist in</x:v>
      </x:c>
      <x:c r="G4" s="10" t="str">
        <x:v>CEX in</x:v>
      </x:c>
      <x:c r="H4" s="10" t="str">
        <x:v>CEX out</x:v>
      </x:c>
      <x:c r="I4" s="10" t="str">
        <x:v>CEX net</x:v>
      </x:c>
      <x:c r="J4" s="10" t="str">
        <x:v>IBC in</x:v>
      </x:c>
      <x:c r="K4" s="10" t="str">
        <x:v>IBC out</x:v>
      </x:c>
      <x:c r="L4" s="10" t="str">
        <x:v>IBC net</x:v>
      </x:c>
      <x:c r="M4" s="10" t="str">
        <x:v>Binance low</x:v>
      </x:c>
      <x:c r="N4" s="10" t="str">
        <x:v>Binance range</x:v>
      </x:c>
      <x:c r="O4" s="10" t="str">
        <x:v>Binance base vol</x:v>
      </x:c>
      <x:c r="P4" s="10" t="str">
        <x:v>Binance quote vol</x:v>
      </x:c>
      <x:c r="Q4" s="11" t="str">
        <x:v>Binance trades</x:v>
      </x:c>
    </x:row>
    <x:row r="5">
      <x:c r="A5" s="12" t="str">
        <x:v>matched_pre_day</x:v>
      </x:c>
      <x:c r="B5" s="12" t="str">
        <x:v>Primary matched pre-event control</x:v>
      </x:c>
      <x:c r="C5" s="12" t="str">
        <x:v>2025-10-09 20:30:00 UTC</x:v>
      </x:c>
      <x:c r="D5" s="14" t="n">
        <x:v>480390.488962</x:v>
      </x:c>
      <x:c r="E5" s="14" t="n">
        <x:v>138834.074693</x:v>
      </x:c>
      <x:c r="F5" s="14" t="n">
        <x:v>86831.558993</x:v>
      </x:c>
      <x:c r="G5" s="14" t="n">
        <x:v>42842.840461</x:v>
      </x:c>
      <x:c r="H5" s="14" t="n">
        <x:v>44448.158827</x:v>
      </x:c>
      <x:c r="I5" s="14" t="n">
        <x:v>-1605.318366</x:v>
      </x:c>
      <x:c r="J5" s="14" t="n">
        <x:v>13755.439607</x:v>
      </x:c>
      <x:c r="K5" s="14" t="n">
        <x:v>55027.186509</x:v>
      </x:c>
      <x:c r="L5" s="14" t="n">
        <x:v>-41271.746902</x:v>
      </x:c>
      <x:c r="M5" s="14" t="n">
        <x:v>4.033</x:v>
      </x:c>
      <x:c r="N5" s="21" t="n">
        <x:v>0.006195786864931846</x:v>
      </x:c>
      <x:c r="O5" s="14" t="n">
        <x:v>86726.55</x:v>
      </x:c>
      <x:c r="P5" s="14" t="n">
        <x:v>350657.2649</x:v>
      </x:c>
      <x:c r="Q5" s="16" t="n">
        <x:v>1758</x:v>
      </x:c>
    </x:row>
    <x:row r="6">
      <x:c r="A6" s="13" t="str">
        <x:v>same_day_pre</x:v>
      </x:c>
      <x:c r="B6" s="13" t="str">
        <x:v>Adjacent pre-event sensitivity window</x:v>
      </x:c>
      <x:c r="C6" s="13" t="str">
        <x:v>2025-10-10 18:30:00 UTC</x:v>
      </x:c>
      <x:c r="D6" s="15" t="n">
        <x:v>1131016.97015</x:v>
      </x:c>
      <x:c r="E6" s="15" t="n">
        <x:v>591335.205738</x:v>
      </x:c>
      <x:c r="F6" s="15" t="n">
        <x:v>246617.524396</x:v>
      </x:c>
      <x:c r="G6" s="15" t="n">
        <x:v>143118.21166</x:v>
      </x:c>
      <x:c r="H6" s="15" t="n">
        <x:v>141523.767131</x:v>
      </x:c>
      <x:c r="I6" s="15" t="n">
        <x:v>1594.444529</x:v>
      </x:c>
      <x:c r="J6" s="15" t="n">
        <x:v>36558.194862</x:v>
      </x:c>
      <x:c r="K6" s="15" t="n">
        <x:v>18891.390551</x:v>
      </x:c>
      <x:c r="L6" s="15" t="n">
        <x:v>17666.804311</x:v>
      </x:c>
      <x:c r="M6" s="15" t="n">
        <x:v>3.855</x:v>
      </x:c>
      <x:c r="N6" s="22" t="n">
        <x:v>0.02503793626707132</x:v>
      </x:c>
      <x:c r="O6" s="15" t="n">
        <x:v>411026.26</x:v>
      </x:c>
      <x:c r="P6" s="15" t="n">
        <x:v>1607769.03143</x:v>
      </x:c>
      <x:c r="Q6" s="17" t="n">
        <x:v>17837</x:v>
      </x:c>
    </x:row>
    <x:row r="7">
      <x:c r="A7" s="23" t="str">
        <x:v>event</x:v>
      </x:c>
      <x:c r="B7" s="23" t="str">
        <x:v>Flash-crash event window</x:v>
      </x:c>
      <x:c r="C7" s="23" t="str">
        <x:v>2025-10-10 20:30:00 UTC</x:v>
      </x:c>
      <x:c r="D7" s="24" t="n">
        <x:v>2721343.637883</x:v>
      </x:c>
      <x:c r="E7" s="24" t="n">
        <x:v>1393999.777324</x:v>
      </x:c>
      <x:c r="F7" s="24" t="n">
        <x:v>1101138.408901</x:v>
      </x:c>
      <x:c r="G7" s="24" t="n">
        <x:v>188053.420087</x:v>
      </x:c>
      <x:c r="H7" s="24" t="n">
        <x:v>195398.332856</x:v>
      </x:c>
      <x:c r="I7" s="24" t="n">
        <x:v>-7344.912769</x:v>
      </x:c>
      <x:c r="J7" s="24" t="n">
        <x:v>277987.972547</x:v>
      </x:c>
      <x:c r="K7" s="24" t="n">
        <x:v>450890.178305</x:v>
      </x:c>
      <x:c r="L7" s="24" t="n">
        <x:v>-172902.205758</x:v>
      </x:c>
      <x:c r="M7" s="24" t="n">
        <x:v>0.001</x:v>
      </x:c>
      <x:c r="N7" s="25" t="n">
        <x:v>1</x:v>
      </x:c>
      <x:c r="O7" s="24" t="n">
        <x:v>5816796.61</x:v>
      </x:c>
      <x:c r="P7" s="24" t="n">
        <x:v>16718891.501948</x:v>
      </x:c>
      <x:c r="Q7" s="26" t="n">
        <x:v>202008</x:v>
      </x:c>
    </x:row>
    <x:row r="8">
      <x:c r="A8" s="13" t="str">
        <x:v>matched_post_day1</x:v>
      </x:c>
      <x:c r="B8" s="13" t="str">
        <x:v>Post-event matched-time sensitivity window</x:v>
      </x:c>
      <x:c r="C8" s="13" t="str">
        <x:v>2025-10-11 20:30:00 UTC</x:v>
      </x:c>
      <x:c r="D8" s="15" t="n">
        <x:v>796480.685127</x:v>
      </x:c>
      <x:c r="E8" s="15" t="n">
        <x:v>399938.378461</x:v>
      </x:c>
      <x:c r="F8" s="15" t="n">
        <x:v>141241.771946</x:v>
      </x:c>
      <x:c r="G8" s="15" t="n">
        <x:v>62841.209877</x:v>
      </x:c>
      <x:c r="H8" s="15" t="n">
        <x:v>62316.113492</x:v>
      </x:c>
      <x:c r="I8" s="15" t="n">
        <x:v>525.096385</x:v>
      </x:c>
      <x:c r="J8" s="15" t="n">
        <x:v>57102.707265</x:v>
      </x:c>
      <x:c r="K8" s="15" t="n">
        <x:v>25350.012632</x:v>
      </x:c>
      <x:c r="L8" s="15" t="n">
        <x:v>31752.694633</x:v>
      </x:c>
      <x:c r="M8" s="15" t="n">
        <x:v>3.042</x:v>
      </x:c>
      <x:c r="N8" s="22" t="n">
        <x:v>0.04002561639449247</x:v>
      </x:c>
      <x:c r="O8" s="15" t="n">
        <x:v>487965.25</x:v>
      </x:c>
      <x:c r="P8" s="15" t="n">
        <x:v>1511311.47454</x:v>
      </x:c>
      <x:c r="Q8" s="17" t="n">
        <x:v>10767</x:v>
      </x:c>
    </x:row>
    <x:row r="9">
      <x:c r="A9" s="13" t="str">
        <x:v>matched_post_day2</x:v>
      </x:c>
      <x:c r="B9" s="13" t="str">
        <x:v>Post-event matched-time sensitivity window</x:v>
      </x:c>
      <x:c r="C9" s="13" t="str">
        <x:v>2025-10-12 20:30:00 UTC</x:v>
      </x:c>
      <x:c r="D9" s="15" t="n">
        <x:v>559876.036974</x:v>
      </x:c>
      <x:c r="E9" s="15" t="n">
        <x:v>295454.826769</x:v>
      </x:c>
      <x:c r="F9" s="15" t="n">
        <x:v>148911.565905</x:v>
      </x:c>
      <x:c r="G9" s="15" t="n">
        <x:v>56032.940749</x:v>
      </x:c>
      <x:c r="H9" s="15" t="n">
        <x:v>38219.628807</x:v>
      </x:c>
      <x:c r="I9" s="15" t="n">
        <x:v>17813.311942</x:v>
      </x:c>
      <x:c r="J9" s="15" t="n">
        <x:v>35007.278313</x:v>
      </x:c>
      <x:c r="K9" s="15" t="n">
        <x:v>30962.417109</x:v>
      </x:c>
      <x:c r="L9" s="15" t="n">
        <x:v>4044.861204</x:v>
      </x:c>
      <x:c r="M9" s="15" t="n">
        <x:v>3.451</x:v>
      </x:c>
      <x:c r="N9" s="22" t="n">
        <x:v>0.028125</x:v>
      </x:c>
      <x:c r="O9" s="15" t="n">
        <x:v>273510.1</x:v>
      </x:c>
      <x:c r="P9" s="15" t="n">
        <x:v>955912.47765</x:v>
      </x:c>
      <x:c r="Q9" s="17" t="n">
        <x:v>5909</x:v>
      </x:c>
    </x:row>
    <x:row r="12">
      <x:c r="A12" s="9" t="str">
        <x:v>Metric</x:v>
      </x:c>
      <x:c r="B12" s="10" t="str">
        <x:v>Event</x:v>
      </x:c>
      <x:c r="C12" s="10" t="str">
        <x:v>Pre-day matched</x:v>
      </x:c>
      <x:c r="D12" s="10" t="str">
        <x:v>36-bin median</x:v>
      </x:c>
      <x:c r="E12" s="10" t="str">
        <x:v>Event / pre-day</x:v>
      </x:c>
      <x:c r="F12" s="10" t="str">
        <x:v>Event / median</x:v>
      </x:c>
      <x:c r="G12" s="11" t="str">
        <x:v>Event percentile</x:v>
      </x:c>
    </x:row>
    <x:row r="13">
      <x:c r="A13" s="12" t="str">
        <x:v>Direct ATOM</x:v>
      </x:c>
      <x:c r="B13" s="14" t="n">
        <x:f>'Control Summary'!D$7</x:f>
        <x:v>2721343.637883</x:v>
      </x:c>
      <x:c r="C13" s="14" t="n">
        <x:f>'Control Summary'!D$5</x:f>
        <x:v>480390.488962</x:v>
      </x:c>
      <x:c r="D13" s="14" t="n">
        <x:f>MEDIAN('Control Dist'!$C$2:$C$37)</x:f>
        <x:v>807663.772615</x:v>
      </x:c>
      <x:c r="E13" s="27" t="n">
        <x:f>B13/C13</x:f>
        <x:v>5.6648574449571685</x:v>
      </x:c>
      <x:c r="F13" s="27" t="n">
        <x:f>B13/D13</x:f>
        <x:v>3.369401637357108</x:v>
      </x:c>
      <x:c r="G13" s="21" t="n">
        <x:f>COUNTIF('Control Dist'!$C$2:$C$37,"&lt;="&amp;B13)/COUNT('Control Dist'!$C$2:$C$37)</x:f>
        <x:v>0.9166666666666666</x:v>
      </x:c>
    </x:row>
    <x:row r="14">
      <x:c r="A14" s="13" t="str">
        <x:v>Structured candidate in</x:v>
      </x:c>
      <x:c r="B14" s="15" t="n">
        <x:f>'Control Summary'!E$7</x:f>
        <x:v>1393999.777324</x:v>
      </x:c>
      <x:c r="C14" s="15" t="n">
        <x:f>'Control Summary'!E$5</x:f>
        <x:v>138834.074693</x:v>
      </x:c>
      <x:c r="D14" s="15" t="n">
        <x:f>MEDIAN('Control Dist'!$D$2:$D$37)</x:f>
        <x:v>347647.21916700003</x:v>
      </x:c>
      <x:c r="E14" s="28" t="n">
        <x:f>B14/C14</x:f>
        <x:v>10.040761105704876</x:v>
      </x:c>
      <x:c r="F14" s="28" t="n">
        <x:f>B14/D14</x:f>
        <x:v>4.009811384840566</x:v>
      </x:c>
      <x:c r="G14" s="22" t="n">
        <x:f>COUNTIF('Control Dist'!$D$2:$D$37,"&lt;="&amp;B14)/COUNT('Control Dist'!$D$2:$D$37)</x:f>
        <x:v>0.9166666666666666</x:v>
      </x:c>
    </x:row>
    <x:row r="15">
      <x:c r="A15" s="13" t="str">
        <x:v>Large-flow watchlist in</x:v>
      </x:c>
      <x:c r="B15" s="15" t="n">
        <x:f>'Control Summary'!F$7</x:f>
        <x:v>1101138.408901</x:v>
      </x:c>
      <x:c r="C15" s="15" t="n">
        <x:f>'Control Summary'!F$5</x:f>
        <x:v>86831.558993</x:v>
      </x:c>
      <x:c r="D15" s="15" t="n">
        <x:f>MEDIAN('Control Dist'!$E$2:$E$37)</x:f>
        <x:v>147375.78597199998</x:v>
      </x:c>
      <x:c r="E15" s="28" t="n">
        <x:f>B15/C15</x:f>
        <x:v>12.681315660700841</x:v>
      </x:c>
      <x:c r="F15" s="28" t="n">
        <x:f>B15/D15</x:f>
        <x:v>7.471637227503614</x:v>
      </x:c>
      <x:c r="G15" s="22" t="n">
        <x:f>COUNTIF('Control Dist'!$E$2:$E$37,"&lt;="&amp;B15)/COUNT('Control Dist'!$E$2:$E$37)</x:f>
        <x:v>0.9444444444444444</x:v>
      </x:c>
    </x:row>
    <x:row r="16">
      <x:c r="A16" s="13" t="str">
        <x:v>Confirmed CEX in</x:v>
      </x:c>
      <x:c r="B16" s="15" t="n">
        <x:f>'Control Summary'!G$7</x:f>
        <x:v>188053.420087</x:v>
      </x:c>
      <x:c r="C16" s="15" t="n">
        <x:f>'Control Summary'!G$5</x:f>
        <x:v>42842.840461</x:v>
      </x:c>
      <x:c r="D16" s="15" t="n">
        <x:f>MEDIAN('Control Dist'!$F$2:$F$37)</x:f>
        <x:v>85117.89712149999</x:v>
      </x:c>
      <x:c r="E16" s="28" t="n">
        <x:f>B16/C16</x:f>
        <x:v>4.389377969889409</x:v>
      </x:c>
      <x:c r="F16" s="28" t="n">
        <x:f>B16/D16</x:f>
        <x:v>2.2093287833293926</x:v>
      </x:c>
      <x:c r="G16" s="22" t="n">
        <x:f>COUNTIF('Control Dist'!$F$2:$F$37,"&lt;="&amp;B16)/COUNT('Control Dist'!$F$2:$F$37)</x:f>
        <x:v>0.8055555555555556</x:v>
      </x:c>
    </x:row>
    <x:row r="17">
      <x:c r="A17" s="13" t="str">
        <x:v>Confirmed CEX out</x:v>
      </x:c>
      <x:c r="B17" s="15" t="n">
        <x:f>'Control Summary'!H$7</x:f>
        <x:v>195398.332856</x:v>
      </x:c>
      <x:c r="C17" s="15" t="n">
        <x:f>'Control Summary'!H$5</x:f>
        <x:v>44448.158827</x:v>
      </x:c>
      <x:c r="D17" s="15" t="n">
        <x:f>MEDIAN('Control Dist'!$G$2:$G$37)</x:f>
        <x:v>87001.96506399999</x:v>
      </x:c>
      <x:c r="E17" s="28" t="n">
        <x:f>B17/C17</x:f>
        <x:v>4.396095091734271</x:v>
      </x:c>
      <x:c r="F17" s="28" t="n">
        <x:f>B17/D17</x:f>
        <x:v>2.245907120744479</x:v>
      </x:c>
      <x:c r="G17" s="22" t="n">
        <x:f>COUNTIF('Control Dist'!$G$2:$G$37,"&lt;="&amp;B17)/COUNT('Control Dist'!$G$2:$G$37)</x:f>
        <x:v>0.8055555555555556</x:v>
      </x:c>
    </x:row>
    <x:row r="18">
      <x:c r="A18" s="13" t="str">
        <x:v>Confirmed CEX net</x:v>
      </x:c>
      <x:c r="B18" s="15" t="n">
        <x:f>'Control Summary'!I$7</x:f>
        <x:v>-7344.912769</x:v>
      </x:c>
      <x:c r="C18" s="15" t="n">
        <x:f>'Control Summary'!I$5</x:f>
        <x:v>-1605.318366</x:v>
      </x:c>
      <x:c r="D18" s="15" t="n">
        <x:f>MEDIAN('Control Dist'!$H$2:$H$37)</x:f>
        <x:v>-463.67427899999996</x:v>
      </x:c>
      <x:c r="E18" s="28"/>
      <x:c r="F18" s="28"/>
      <x:c r="G18" s="22" t="n">
        <x:f>COUNTIF('Control Dist'!$H$2:$H$37,"&lt;="&amp;B18)/COUNT('Control Dist'!$H$2:$H$37)</x:f>
        <x:v>0.16666666666666666</x:v>
      </x:c>
    </x:row>
    <x:row r="19">
      <x:c r="A19" s="13" t="str">
        <x:v>IBC inbound</x:v>
      </x:c>
      <x:c r="B19" s="15" t="n">
        <x:f>'Control Summary'!J$7</x:f>
        <x:v>277987.972547</x:v>
      </x:c>
      <x:c r="C19" s="15" t="n">
        <x:f>'Control Summary'!J$5</x:f>
        <x:v>13755.439607</x:v>
      </x:c>
      <x:c r="D19" s="15" t="n">
        <x:f>MEDIAN('Control Dist'!$I$2:$I$37)</x:f>
        <x:v>29893.617345</x:v>
      </x:c>
      <x:c r="E19" s="28" t="n">
        <x:f>B19/C19</x:f>
        <x:v>20.20931213318219</x:v>
      </x:c>
      <x:c r="F19" s="28" t="n">
        <x:f>B19/D19</x:f>
        <x:v>9.299241685566574</x:v>
      </x:c>
      <x:c r="G19" s="22" t="n">
        <x:f>COUNTIF('Control Dist'!$I$2:$I$37,"&lt;="&amp;B19)/COUNT('Control Dist'!$I$2:$I$37)</x:f>
        <x:v>1</x:v>
      </x:c>
    </x:row>
    <x:row r="20">
      <x:c r="A20" s="13" t="str">
        <x:v>IBC outbound</x:v>
      </x:c>
      <x:c r="B20" s="15" t="n">
        <x:f>'Control Summary'!K$7</x:f>
        <x:v>450890.178305</x:v>
      </x:c>
      <x:c r="C20" s="15" t="n">
        <x:f>'Control Summary'!K$5</x:f>
        <x:v>55027.186509</x:v>
      </x:c>
      <x:c r="D20" s="15" t="n">
        <x:f>MEDIAN('Control Dist'!$J$2:$J$37)</x:f>
        <x:v>28971.367508000003</x:v>
      </x:c>
      <x:c r="E20" s="28" t="n">
        <x:f>B20/C20</x:f>
        <x:v>8.193952969615381</x:v>
      </x:c>
      <x:c r="F20" s="28" t="n">
        <x:f>B20/D20</x:f>
        <x:v>15.56330325727612</x:v>
      </x:c>
      <x:c r="G20" s="22" t="n">
        <x:f>COUNTIF('Control Dist'!$J$2:$J$37,"&lt;="&amp;B20)/COUNT('Control Dist'!$J$2:$J$37)</x:f>
        <x:v>1</x:v>
      </x:c>
    </x:row>
    <x:row r="21">
      <x:c r="A21" s="13" t="str">
        <x:v>IBC net inbound</x:v>
      </x:c>
      <x:c r="B21" s="15" t="n">
        <x:f>'Control Summary'!L$7</x:f>
        <x:v>-172902.205758</x:v>
      </x:c>
      <x:c r="C21" s="15" t="n">
        <x:f>'Control Summary'!L$5</x:f>
        <x:v>-41271.746902</x:v>
      </x:c>
      <x:c r="D21" s="15" t="n">
        <x:f>MEDIAN('Control Dist'!$K$2:$K$37)</x:f>
        <x:v>7784.810091</x:v>
      </x:c>
      <x:c r="E21" s="28"/>
      <x:c r="F21" s="28"/>
      <x:c r="G21" s="22" t="n">
        <x:f>COUNTIF('Control Dist'!$K$2:$K$37,"&lt;="&amp;B21)/COUNT('Control Dist'!$K$2:$K$37)</x:f>
        <x:v>0</x:v>
      </x:c>
    </x:row>
    <x:row r="22">
      <x:c r="A22" s="13" t="str">
        <x:v>Binance price range</x:v>
      </x:c>
      <x:c r="B22" s="22" t="n">
        <x:f>'Control Summary'!N$7</x:f>
        <x:v>1</x:v>
      </x:c>
      <x:c r="C22" s="22" t="n">
        <x:f>'Control Summary'!N$5</x:f>
        <x:v>0.006195786864931846</x:v>
      </x:c>
      <x:c r="D22" s="22" t="n">
        <x:f>MEDIAN('Control Dist'!$L$2:$L$37)</x:f>
        <x:v>0.023278738246891112</x:v>
      </x:c>
      <x:c r="E22" s="28" t="n">
        <x:f>B22/C22</x:f>
        <x:v>161.4</x:v>
      </x:c>
      <x:c r="F22" s="28" t="n">
        <x:f>B22/D22</x:f>
        <x:v>42.957654723127035</x:v>
      </x:c>
      <x:c r="G22" s="22" t="n">
        <x:f>COUNTIF('Control Dist'!$L$2:$L$37,"&lt;="&amp;B22)/COUNT('Control Dist'!$L$2:$L$37)</x:f>
        <x:v>1</x:v>
      </x:c>
    </x:row>
    <x:row r="23">
      <x:c r="A23" s="13" t="str">
        <x:v>Binance base volume</x:v>
      </x:c>
      <x:c r="B23" s="15" t="n">
        <x:f>'Control Summary'!O$7</x:f>
        <x:v>5816796.61</x:v>
      </x:c>
      <x:c r="C23" s="15" t="n">
        <x:f>'Control Summary'!O$5</x:f>
        <x:v>86726.55</x:v>
      </x:c>
      <x:c r="D23" s="15" t="n">
        <x:f>MEDIAN('Control Dist'!$M$2:$M$37)</x:f>
        <x:v>279706.95999999996</x:v>
      </x:c>
      <x:c r="E23" s="28" t="n">
        <x:f>B23/C23</x:f>
        <x:v>67.07054079748359</x:v>
      </x:c>
      <x:c r="F23" s="28" t="n">
        <x:f>B23/D23</x:f>
        <x:v>20.796038146494464</x:v>
      </x:c>
      <x:c r="G23" s="22" t="n">
        <x:f>COUNTIF('Control Dist'!$M$2:$M$37,"&lt;="&amp;B23)/COUNT('Control Dist'!$M$2:$M$37)</x:f>
        <x:v>1</x:v>
      </x:c>
    </x:row>
    <x:row r="24">
      <x:c r="A24" s="13" t="str">
        <x:v>Binance quote volume</x:v>
      </x:c>
      <x:c r="B24" s="15" t="n">
        <x:f>'Control Summary'!P$7</x:f>
        <x:v>16718891.501948</x:v>
      </x:c>
      <x:c r="C24" s="15" t="n">
        <x:f>'Control Summary'!P$5</x:f>
        <x:v>350657.2649</x:v>
      </x:c>
      <x:c r="D24" s="15" t="n">
        <x:f>MEDIAN('Control Dist'!$N$2:$N$37)</x:f>
        <x:v>1033772.203405</x:v>
      </x:c>
      <x:c r="E24" s="28" t="n">
        <x:f>B24/C24</x:f>
        <x:v>47.67872556901359</x:v>
      </x:c>
      <x:c r="F24" s="28" t="n">
        <x:f>B24/D24</x:f>
        <x:v>16.172703664192117</x:v>
      </x:c>
      <x:c r="G24" s="22" t="n">
        <x:f>COUNTIF('Control Dist'!$N$2:$N$37,"&lt;="&amp;B24)/COUNT('Control Dist'!$N$2:$N$37)</x:f>
        <x:v>1</x:v>
      </x:c>
    </x:row>
    <x:row r="25">
      <x:c r="A25" s="13" t="str">
        <x:v>Binance trade count</x:v>
      </x:c>
      <x:c r="B25" s="17" t="n">
        <x:f>'Control Summary'!Q$7</x:f>
        <x:v>202008</x:v>
      </x:c>
      <x:c r="C25" s="17" t="n">
        <x:f>'Control Summary'!Q$5</x:f>
        <x:v>1758</x:v>
      </x:c>
      <x:c r="D25" s="17" t="n">
        <x:f>MEDIAN('Control Dist'!$O$2:$O$37)</x:f>
        <x:v>6216.5</x:v>
      </x:c>
      <x:c r="E25" s="28" t="n">
        <x:f>B25/C25</x:f>
        <x:v>114.90784982935153</x:v>
      </x:c>
      <x:c r="F25" s="28" t="n">
        <x:f>B25/D25</x:f>
        <x:v>32.49545564224242</x:v>
      </x:c>
      <x:c r="G25" s="22" t="n">
        <x:f>COUNTIF('Control Dist'!$O$2:$O$37,"&lt;="&amp;B25)/COUNT('Control Dist'!$O$2:$O$37)</x:f>
        <x:v>1</x:v>
      </x:c>
    </x:row>
  </x:sheetData>
  <x:mergeCells>
    <x:mergeCell ref="A1:Q2"/>
  </x:mergeCells>
  <x:conditionalFormatting sqref="I5:I9">
    <x:cfRule type="cellIs" dxfId="3" priority="1" operator="lessThan">
      <x:formula>0</x:formula>
    </x:cfRule>
  </x:conditionalFormatting>
  <x:conditionalFormatting sqref="L5:L9">
    <x:cfRule type="cellIs" dxfId="4" priority="2" operator="lessThan">
      <x:formula>0</x:formula>
    </x:cfRule>
  </x:conditionalFormatting>
  <x:conditionalFormatting sqref="B18:D18">
    <x:cfRule type="cellIs" dxfId="5" priority="3" operator="lessThan">
      <x:formula>0</x:formula>
    </x:cfRule>
  </x:conditionalFormatting>
  <x:conditionalFormatting sqref="B21:D21">
    <x:cfRule type="cellIs" dxfId="6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360502820cb8478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9" hidden="0" customWidth="1"/>
    <x:col min="3" max="3" width="2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2" customHeight="1">
      <x:c r="A1" s="20" t="str">
        <x:v>ATOM market controls — two-hour windows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</x:row>
    <x:row r="2" ht="32" customHeight="1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</x:row>
    <x:row r="4">
      <x:c r="A4" s="9" t="str">
        <x:v>Window</x:v>
      </x:c>
      <x:c r="B4" s="10" t="str">
        <x:v>Role</x:v>
      </x:c>
      <x:c r="C4" s="10" t="str">
        <x:v>Venue</x:v>
      </x:c>
      <x:c r="D4" s="10" t="str">
        <x:v>Open</x:v>
      </x:c>
      <x:c r="E4" s="10" t="str">
        <x:v>High</x:v>
      </x:c>
      <x:c r="F4" s="10" t="str">
        <x:v>Low</x:v>
      </x:c>
      <x:c r="G4" s="10" t="str">
        <x:v>Close</x:v>
      </x:c>
      <x:c r="H4" s="10" t="str">
        <x:v>Return</x:v>
      </x:c>
      <x:c r="I4" s="10" t="str">
        <x:v>Range</x:v>
      </x:c>
      <x:c r="J4" s="10" t="str">
        <x:v>Base volume</x:v>
      </x:c>
      <x:c r="K4" s="10" t="str">
        <x:v>Quote volume</x:v>
      </x:c>
      <x:c r="L4" s="10" t="str">
        <x:v>Trades</x:v>
      </x:c>
      <x:c r="M4" s="10" t="str">
        <x:v>Sell-aggressor share</x:v>
      </x:c>
      <x:c r="N4" s="11" t="str">
        <x:v>Observations</x:v>
      </x:c>
      <x:c r="P4" s="9" t="str">
        <x:v>Window</x:v>
      </x:c>
      <x:c r="Q4" s="10" t="str">
        <x:v>Binance USDT</x:v>
      </x:c>
      <x:c r="R4" s="10" t="str">
        <x:v>Binance USDC</x:v>
      </x:c>
      <x:c r="S4" s="10" t="str">
        <x:v>Futures</x:v>
      </x:c>
      <x:c r="T4" s="10" t="str">
        <x:v>Kraken USD</x:v>
      </x:c>
      <x:c r="U4" s="11" t="str">
        <x:v>Coinbase USD</x:v>
      </x:c>
    </x:row>
    <x:row r="5">
      <x:c r="A5" s="12" t="str">
        <x:v>matched_pre_day</x:v>
      </x:c>
      <x:c r="B5" s="12" t="str">
        <x:v>Primary matched pre-event control</x:v>
      </x:c>
      <x:c r="C5" s="12" t="str">
        <x:v>Binance ATOM/USDT spot</x:v>
      </x:c>
      <x:c r="D5" s="29" t="n">
        <x:v>4.035</x:v>
      </x:c>
      <x:c r="E5" s="29" t="n">
        <x:v>4.058</x:v>
      </x:c>
      <x:c r="F5" s="29" t="n">
        <x:v>4.033</x:v>
      </x:c>
      <x:c r="G5" s="29" t="n">
        <x:v>4.054</x:v>
      </x:c>
      <x:c r="H5" s="21" t="n">
        <x:v>0.004708798017348203</x:v>
      </x:c>
      <x:c r="I5" s="21" t="n">
        <x:v>0.006195786864931846</x:v>
      </x:c>
      <x:c r="J5" s="14" t="n">
        <x:v>86726.55</x:v>
      </x:c>
      <x:c r="K5" s="14" t="n">
        <x:v>350657.2649</x:v>
      </x:c>
      <x:c r="L5" s="16" t="n">
        <x:v>1758</x:v>
      </x:c>
      <x:c r="M5" s="21" t="n">
        <x:v>0.3497399585248116</x:v>
      </x:c>
      <x:c r="N5" s="12" t="n">
        <x:v>120</x:v>
      </x:c>
      <x:c r="P5" t="str">
        <x:v>matched_pre_day</x:v>
      </x:c>
      <x:c r="Q5" s="34" t="n">
        <x:f>'Market Controls'!I5</x:f>
        <x:v>0.006195786864931846</x:v>
      </x:c>
      <x:c r="R5" s="34" t="n">
        <x:f>'Market Controls'!I6</x:f>
        <x:v>0.005200594353640417</x:v>
      </x:c>
      <x:c r="S5" s="34" t="n">
        <x:f>'Market Controls'!I7</x:f>
        <x:v>0.005952380952380952</x:v>
      </x:c>
      <x:c r="T5" s="34" t="n">
        <x:f>'Market Controls'!I9</x:f>
        <x:v>0.005202140309155767</x:v>
      </x:c>
      <x:c r="U5" s="34" t="n">
        <x:f>'Market Controls'!I10</x:f>
        <x:v>0.005942064867541471</x:v>
      </x:c>
    </x:row>
    <x:row r="6">
      <x:c r="A6" s="13" t="str">
        <x:v>matched_pre_day</x:v>
      </x:c>
      <x:c r="B6" s="13" t="str">
        <x:v>Primary matched pre-event control</x:v>
      </x:c>
      <x:c r="C6" s="13" t="str">
        <x:v>Binance ATOM/USDC spot</x:v>
      </x:c>
      <x:c r="D6" s="30" t="n">
        <x:v>4.038</x:v>
      </x:c>
      <x:c r="E6" s="30" t="n">
        <x:v>4.057</x:v>
      </x:c>
      <x:c r="F6" s="30" t="n">
        <x:v>4.036</x:v>
      </x:c>
      <x:c r="G6" s="30" t="n">
        <x:v>4.057</x:v>
      </x:c>
      <x:c r="H6" s="22" t="n">
        <x:v>0.0047052996532937095</x:v>
      </x:c>
      <x:c r="I6" s="22" t="n">
        <x:v>0.005200594353640417</x:v>
      </x:c>
      <x:c r="J6" s="15" t="n">
        <x:v>18494.15</x:v>
      </x:c>
      <x:c r="K6" s="15" t="n">
        <x:v>74785.23381</x:v>
      </x:c>
      <x:c r="L6" s="17" t="n">
        <x:v>717</x:v>
      </x:c>
      <x:c r="M6" s="22" t="n">
        <x:v>0.39435172743813585</x:v>
      </x:c>
      <x:c r="N6" s="13" t="n">
        <x:v>120</x:v>
      </x:c>
      <x:c r="P6" t="str">
        <x:v>same_day_pre</x:v>
      </x:c>
      <x:c r="Q6" s="34" t="n">
        <x:f>'Market Controls'!I11</x:f>
        <x:v>0.02503793626707132</x:v>
      </x:c>
      <x:c r="R6" s="34" t="n">
        <x:f>'Market Controls'!I12</x:f>
        <x:v>0.024550746646418625</x:v>
      </x:c>
      <x:c r="S6" s="34" t="n">
        <x:f>'Market Controls'!I13</x:f>
        <x:v>0.025329280648429587</x:v>
      </x:c>
      <x:c r="T6" s="34" t="n">
        <x:f>'Market Controls'!I15</x:f>
        <x:v>0.023247577850294708</x:v>
      </x:c>
      <x:c r="U6" s="34" t="n">
        <x:f>'Market Controls'!I16</x:f>
        <x:v>0.029091828990640018</x:v>
      </x:c>
    </x:row>
    <x:row r="7">
      <x:c r="A7" s="13" t="str">
        <x:v>matched_pre_day</x:v>
      </x:c>
      <x:c r="B7" s="13" t="str">
        <x:v>Primary matched pre-event control</x:v>
      </x:c>
      <x:c r="C7" s="13" t="str">
        <x:v>Binance ATOMUSDT futures</x:v>
      </x:c>
      <x:c r="D7" s="30" t="n">
        <x:v>4.032</x:v>
      </x:c>
      <x:c r="E7" s="30" t="n">
        <x:v>4.054</x:v>
      </x:c>
      <x:c r="F7" s="30" t="n">
        <x:v>4.03</x:v>
      </x:c>
      <x:c r="G7" s="30" t="n">
        <x:v>4.052</x:v>
      </x:c>
      <x:c r="H7" s="22" t="n">
        <x:v>0.00496031746031746</x:v>
      </x:c>
      <x:c r="I7" s="22" t="n">
        <x:v>0.005952380952380952</x:v>
      </x:c>
      <x:c r="J7" s="15" t="n">
        <x:v>511983.58</x:v>
      </x:c>
      <x:c r="K7" s="15" t="n">
        <x:v>2067898.38971</x:v>
      </x:c>
      <x:c r="L7" s="17" t="n">
        <x:v>9068</x:v>
      </x:c>
      <x:c r="M7" s="22" t="n">
        <x:v>0.47440462836718317</x:v>
      </x:c>
      <x:c r="N7" s="13" t="n">
        <x:v>120</x:v>
      </x:c>
      <x:c r="P7" t="str">
        <x:v>event</x:v>
      </x:c>
      <x:c r="Q7" s="34" t="n">
        <x:f>'Market Controls'!I17</x:f>
        <x:v>1</x:v>
      </x:c>
      <x:c r="R7" s="34" t="n">
        <x:f>'Market Controls'!I18</x:f>
        <x:v>0.603759207518415</x:v>
      </x:c>
      <x:c r="S7" s="34" t="n">
        <x:f>'Market Controls'!I19</x:f>
        <x:v>0.6286876907426246</x:v>
      </x:c>
      <x:c r="T7" s="34" t="n">
        <x:f>'Market Controls'!I21</x:f>
        <x:v>0.23795976427555374</x:v>
      </x:c>
      <x:c r="U7" s="34" t="n">
        <x:f>'Market Controls'!I22</x:f>
        <x:v>0.10922021844043688</x:v>
      </x:c>
    </x:row>
    <x:row r="8">
      <x:c r="A8" s="13" t="str">
        <x:v>matched_pre_day</x:v>
      </x:c>
      <x:c r="B8" s="13" t="str">
        <x:v>Primary matched pre-event control</x:v>
      </x:c>
      <x:c r="C8" s="13" t="str">
        <x:v>Binance mark price</x:v>
      </x:c>
      <x:c r="D8" s="30" t="n">
        <x:v>4.0329381</x:v>
      </x:c>
      <x:c r="E8" s="30" t="n">
        <x:v>4.05400952</x:v>
      </x:c>
      <x:c r="F8" s="30" t="n">
        <x:v>4.0305299</x:v>
      </x:c>
      <x:c r="G8" s="30" t="n">
        <x:v>4.05246381</x:v>
      </x:c>
      <x:c r="H8" s="22" t="n">
        <x:v>0.004841559556790619</x:v>
      </x:c>
      <x:c r="I8" s="22" t="n">
        <x:v>0.00582196389277584</x:v>
      </x:c>
      <x:c r="J8" s="15" t="n">
        <x:v>0</x:v>
      </x:c>
      <x:c r="K8" s="15" t="n">
        <x:v>0</x:v>
      </x:c>
      <x:c r="L8" s="17" t="n">
        <x:v>7200</x:v>
      </x:c>
      <x:c r="M8" s="22"/>
      <x:c r="N8" s="13" t="n">
        <x:v>120</x:v>
      </x:c>
      <x:c r="P8" t="str">
        <x:v>matched_post_day1</x:v>
      </x:c>
      <x:c r="Q8" s="34" t="n">
        <x:f>'Market Controls'!I23</x:f>
        <x:v>0.04002561639449247</x:v>
      </x:c>
      <x:c r="R8" s="34" t="n">
        <x:f>'Market Controls'!I24</x:f>
        <x:v>0.03872</x:v>
      </x:c>
      <x:c r="S8" s="34" t="n">
        <x:f>'Market Controls'!I25</x:f>
        <x:v>0.040710823909531506</x:v>
      </x:c>
      <x:c r="T8" s="34" t="n">
        <x:f>'Market Controls'!I27</x:f>
        <x:v>0.03763785586047705</x:v>
      </x:c>
      <x:c r="U8" s="34" t="n">
        <x:f>'Market Controls'!I28</x:f>
        <x:v>0.04186641099392777</x:v>
      </x:c>
    </x:row>
    <x:row r="9">
      <x:c r="A9" s="13" t="str">
        <x:v>matched_pre_day</x:v>
      </x:c>
      <x:c r="B9" s="13" t="str">
        <x:v>Primary matched pre-event control</x:v>
      </x:c>
      <x:c r="C9" s="13" t="str">
        <x:v>Kraken ATOM/USD</x:v>
      </x:c>
      <x:c r="D9" s="30" t="n">
        <x:v>4.0368</x:v>
      </x:c>
      <x:c r="E9" s="30" t="n">
        <x:v>4.0574</x:v>
      </x:c>
      <x:c r="F9" s="30" t="n">
        <x:v>4.0364</x:v>
      </x:c>
      <x:c r="G9" s="30" t="n">
        <x:v>4.0551</x:v>
      </x:c>
      <x:c r="H9" s="22" t="n">
        <x:v>0.004533293697978597</x:v>
      </x:c>
      <x:c r="I9" s="22" t="n">
        <x:v>0.005202140309155767</x:v>
      </x:c>
      <x:c r="J9" s="15" t="n">
        <x:v>4177.55038373</x:v>
      </x:c>
      <x:c r="K9" s="15" t="n">
        <x:v>16916.015748993843</x:v>
      </x:c>
      <x:c r="L9" s="17" t="n">
        <x:v>89</x:v>
      </x:c>
      <x:c r="M9" s="22"/>
      <x:c r="N9" s="13" t="n">
        <x:v>89</x:v>
      </x:c>
      <x:c r="P9" t="str">
        <x:v>matched_post_day2</x:v>
      </x:c>
      <x:c r="Q9" s="34" t="n">
        <x:f>'Market Controls'!I29</x:f>
        <x:v>0.028125</x:v>
      </x:c>
      <x:c r="R9" s="34" t="n">
        <x:f>'Market Controls'!I30</x:f>
        <x:v>0.028101050241271644</x:v>
      </x:c>
      <x:c r="S9" s="34" t="n">
        <x:f>'Market Controls'!I31</x:f>
        <x:v>0.029286323571225473</x:v>
      </x:c>
      <x:c r="T9" s="34" t="n">
        <x:f>'Market Controls'!I33</x:f>
        <x:v>0.028226264923251847</x:v>
      </x:c>
      <x:c r="U9" s="34" t="n">
        <x:f>'Market Controls'!I34</x:f>
        <x:v>0.028433323855558714</x:v>
      </x:c>
    </x:row>
    <x:row r="10">
      <x:c r="A10" s="13" t="str">
        <x:v>matched_pre_day</x:v>
      </x:c>
      <x:c r="B10" s="13" t="str">
        <x:v>Primary matched pre-event control</x:v>
      </x:c>
      <x:c r="C10" s="13" t="str">
        <x:v>Coinbase ATOM/USD</x:v>
      </x:c>
      <x:c r="D10" s="30" t="n">
        <x:v>4.039</x:v>
      </x:c>
      <x:c r="E10" s="30" t="n">
        <x:v>4.059</x:v>
      </x:c>
      <x:c r="F10" s="30" t="n">
        <x:v>4.035</x:v>
      </x:c>
      <x:c r="G10" s="30" t="n">
        <x:v>4.058</x:v>
      </x:c>
      <x:c r="H10" s="22" t="n">
        <x:v>0.004704134686803665</x:v>
      </x:c>
      <x:c r="I10" s="22" t="n">
        <x:v>0.005942064867541471</x:v>
      </x:c>
      <x:c r="J10" s="15" t="n">
        <x:v>26021.02</x:v>
      </x:c>
      <x:c r="K10" s="15" t="n">
        <x:v>0</x:v>
      </x:c>
      <x:c r="L10" s="17" t="n">
        <x:v>0</x:v>
      </x:c>
      <x:c r="M10" s="22"/>
      <x:c r="N10" s="13" t="n">
        <x:v>113</x:v>
      </x:c>
    </x:row>
    <x:row r="11">
      <x:c r="A11" s="13" t="str">
        <x:v>same_day_pre</x:v>
      </x:c>
      <x:c r="B11" s="13" t="str">
        <x:v>Adjacent pre-event sensitivity window</x:v>
      </x:c>
      <x:c r="C11" s="13" t="str">
        <x:v>Binance ATOM/USDT spot</x:v>
      </x:c>
      <x:c r="D11" s="30" t="n">
        <x:v>3.954</x:v>
      </x:c>
      <x:c r="E11" s="30" t="n">
        <x:v>3.954</x:v>
      </x:c>
      <x:c r="F11" s="30" t="n">
        <x:v>3.855</x:v>
      </x:c>
      <x:c r="G11" s="30" t="n">
        <x:v>3.938</x:v>
      </x:c>
      <x:c r="H11" s="22" t="n">
        <x:v>-0.004046535154274153</x:v>
      </x:c>
      <x:c r="I11" s="22" t="n">
        <x:v>0.02503793626707132</x:v>
      </x:c>
      <x:c r="J11" s="15" t="n">
        <x:v>411026.26</x:v>
      </x:c>
      <x:c r="K11" s="15" t="n">
        <x:v>1607769.03143</x:v>
      </x:c>
      <x:c r="L11" s="17" t="n">
        <x:v>17837</x:v>
      </x:c>
      <x:c r="M11" s="22" t="n">
        <x:v>0.5714762117632095</x:v>
      </x:c>
      <x:c r="N11" s="13" t="n">
        <x:v>120</x:v>
      </x:c>
    </x:row>
    <x:row r="12">
      <x:c r="A12" s="13" t="str">
        <x:v>same_day_pre</x:v>
      </x:c>
      <x:c r="B12" s="13" t="str">
        <x:v>Adjacent pre-event sensitivity window</x:v>
      </x:c>
      <x:c r="C12" s="13" t="str">
        <x:v>Binance ATOM/USDC spot</x:v>
      </x:c>
      <x:c r="D12" s="30" t="n">
        <x:v>3.951</x:v>
      </x:c>
      <x:c r="E12" s="30" t="n">
        <x:v>3.954</x:v>
      </x:c>
      <x:c r="F12" s="30" t="n">
        <x:v>3.857</x:v>
      </x:c>
      <x:c r="G12" s="30" t="n">
        <x:v>3.939</x:v>
      </x:c>
      <x:c r="H12" s="22" t="n">
        <x:v>-0.0030372057706909645</x:v>
      </x:c>
      <x:c r="I12" s="22" t="n">
        <x:v>0.024550746646418625</x:v>
      </x:c>
      <x:c r="J12" s="15" t="n">
        <x:v>88147.51</x:v>
      </x:c>
      <x:c r="K12" s="15" t="n">
        <x:v>344430.41606</x:v>
      </x:c>
      <x:c r="L12" s="17" t="n">
        <x:v>2623</x:v>
      </x:c>
      <x:c r="M12" s="22" t="n">
        <x:v>0.6640256769589975</x:v>
      </x:c>
      <x:c r="N12" s="13" t="n">
        <x:v>120</x:v>
      </x:c>
    </x:row>
    <x:row r="13">
      <x:c r="A13" s="13" t="str">
        <x:v>same_day_pre</x:v>
      </x:c>
      <x:c r="B13" s="13" t="str">
        <x:v>Adjacent pre-event sensitivity window</x:v>
      </x:c>
      <x:c r="C13" s="13" t="str">
        <x:v>Binance ATOMUSDT futures</x:v>
      </x:c>
      <x:c r="D13" s="30" t="n">
        <x:v>3.948</x:v>
      </x:c>
      <x:c r="E13" s="30" t="n">
        <x:v>3.949</x:v>
      </x:c>
      <x:c r="F13" s="30" t="n">
        <x:v>3.849</x:v>
      </x:c>
      <x:c r="G13" s="30" t="n">
        <x:v>3.932</x:v>
      </x:c>
      <x:c r="H13" s="22" t="n">
        <x:v>-0.004052684903748733</x:v>
      </x:c>
      <x:c r="I13" s="22" t="n">
        <x:v>0.025329280648429587</x:v>
      </x:c>
      <x:c r="J13" s="15" t="n">
        <x:v>3158026.61</x:v>
      </x:c>
      <x:c r="K13" s="15" t="n">
        <x:v>12335607.62584</x:v>
      </x:c>
      <x:c r="L13" s="17" t="n">
        <x:v>38047</x:v>
      </x:c>
      <x:c r="M13" s="22" t="n">
        <x:v>0.5861524232058323</x:v>
      </x:c>
      <x:c r="N13" s="13" t="n">
        <x:v>120</x:v>
      </x:c>
    </x:row>
    <x:row r="14">
      <x:c r="A14" s="13" t="str">
        <x:v>same_day_pre</x:v>
      </x:c>
      <x:c r="B14" s="13" t="str">
        <x:v>Adjacent pre-event sensitivity window</x:v>
      </x:c>
      <x:c r="C14" s="13" t="str">
        <x:v>Binance mark price</x:v>
      </x:c>
      <x:c r="D14" s="30" t="n">
        <x:v>3.948</x:v>
      </x:c>
      <x:c r="E14" s="30" t="n">
        <x:v>3.9480619</x:v>
      </x:c>
      <x:c r="F14" s="30" t="n">
        <x:v>3.85317638</x:v>
      </x:c>
      <x:c r="G14" s="30" t="n">
        <x:v>3.93267714</x:v>
      </x:c>
      <x:c r="H14" s="22" t="n">
        <x:v>-0.0038811702127659574</x:v>
      </x:c>
      <x:c r="I14" s="22" t="n">
        <x:v>0.02403381965552178</x:v>
      </x:c>
      <x:c r="J14" s="15" t="n">
        <x:v>0</x:v>
      </x:c>
      <x:c r="K14" s="15" t="n">
        <x:v>0</x:v>
      </x:c>
      <x:c r="L14" s="17" t="n">
        <x:v>7200</x:v>
      </x:c>
      <x:c r="M14" s="22"/>
      <x:c r="N14" s="13" t="n">
        <x:v>120</x:v>
      </x:c>
    </x:row>
    <x:row r="15">
      <x:c r="A15" s="13" t="str">
        <x:v>same_day_pre</x:v>
      </x:c>
      <x:c r="B15" s="13" t="str">
        <x:v>Adjacent pre-event sensitivity window</x:v>
      </x:c>
      <x:c r="C15" s="13" t="str">
        <x:v>Kraken ATOM/USD</x:v>
      </x:c>
      <x:c r="D15" s="30" t="n">
        <x:v>3.9531</x:v>
      </x:c>
      <x:c r="E15" s="30" t="n">
        <x:v>3.9531</x:v>
      </x:c>
      <x:c r="F15" s="30" t="n">
        <x:v>3.8612</x:v>
      </x:c>
      <x:c r="G15" s="30" t="n">
        <x:v>3.9355</x:v>
      </x:c>
      <x:c r="H15" s="22" t="n">
        <x:v>-0.0044522020692620975</x:v>
      </x:c>
      <x:c r="I15" s="22" t="n">
        <x:v>0.023247577850294708</x:v>
      </x:c>
      <x:c r="J15" s="15" t="n">
        <x:v>25080.42136991</x:v>
      </x:c>
      <x:c r="K15" s="15" t="n">
        <x:v>98000.69002777616</x:v>
      </x:c>
      <x:c r="L15" s="17" t="n">
        <x:v>363</x:v>
      </x:c>
      <x:c r="M15" s="22"/>
      <x:c r="N15" s="13" t="n">
        <x:v>363</x:v>
      </x:c>
    </x:row>
    <x:row r="16">
      <x:c r="A16" s="13" t="str">
        <x:v>same_day_pre</x:v>
      </x:c>
      <x:c r="B16" s="13" t="str">
        <x:v>Adjacent pre-event sensitivity window</x:v>
      </x:c>
      <x:c r="C16" s="13" t="str">
        <x:v>Coinbase ATOM/USD</x:v>
      </x:c>
      <x:c r="D16" s="30" t="n">
        <x:v>3.953</x:v>
      </x:c>
      <x:c r="E16" s="30" t="n">
        <x:v>3.995</x:v>
      </x:c>
      <x:c r="F16" s="30" t="n">
        <x:v>3.88</x:v>
      </x:c>
      <x:c r="G16" s="30" t="n">
        <x:v>3.939</x:v>
      </x:c>
      <x:c r="H16" s="22" t="n">
        <x:v>-0.0035416139640779155</x:v>
      </x:c>
      <x:c r="I16" s="22" t="n">
        <x:v>0.029091828990640018</x:v>
      </x:c>
      <x:c r="J16" s="15" t="n">
        <x:v>225512.3</x:v>
      </x:c>
      <x:c r="K16" s="15" t="n">
        <x:v>0</x:v>
      </x:c>
      <x:c r="L16" s="17" t="n">
        <x:v>0</x:v>
      </x:c>
      <x:c r="M16" s="22"/>
      <x:c r="N16" s="13" t="n">
        <x:v>120</x:v>
      </x:c>
    </x:row>
    <x:row r="17">
      <x:c r="A17" s="13" t="str">
        <x:v>event</x:v>
      </x:c>
      <x:c r="B17" s="13" t="str">
        <x:v>Flash-crash event window</x:v>
      </x:c>
      <x:c r="C17" s="13" t="str">
        <x:v>Binance ATOM/USDT spot</x:v>
      </x:c>
      <x:c r="D17" s="30" t="n">
        <x:v>3.937</x:v>
      </x:c>
      <x:c r="E17" s="30" t="n">
        <x:v>3.938</x:v>
      </x:c>
      <x:c r="F17" s="30" t="n">
        <x:v>0.001</x:v>
      </x:c>
      <x:c r="G17" s="30" t="n">
        <x:v>2.747</x:v>
      </x:c>
      <x:c r="H17" s="22" t="n">
        <x:v>-0.30226060452120906</x:v>
      </x:c>
      <x:c r="I17" s="22" t="n">
        <x:v>1</x:v>
      </x:c>
      <x:c r="J17" s="15" t="n">
        <x:v>5816796.61</x:v>
      </x:c>
      <x:c r="K17" s="15" t="n">
        <x:v>16718891.501948</x:v>
      </x:c>
      <x:c r="L17" s="17" t="n">
        <x:v>202008</x:v>
      </x:c>
      <x:c r="M17" s="22" t="n">
        <x:v>0.5071063933933905</x:v>
      </x:c>
      <x:c r="N17" s="13" t="n">
        <x:v>120</x:v>
      </x:c>
    </x:row>
    <x:row r="18">
      <x:c r="A18" s="13" t="str">
        <x:v>event</x:v>
      </x:c>
      <x:c r="B18" s="13" t="str">
        <x:v>Flash-crash event window</x:v>
      </x:c>
      <x:c r="C18" s="13" t="str">
        <x:v>Binance ATOM/USDC spot</x:v>
      </x:c>
      <x:c r="D18" s="30" t="n">
        <x:v>3.937</x:v>
      </x:c>
      <x:c r="E18" s="30" t="n">
        <x:v>3.938</x:v>
      </x:c>
      <x:c r="F18" s="30" t="n">
        <x:v>1.561</x:v>
      </x:c>
      <x:c r="G18" s="30" t="n">
        <x:v>2.755</x:v>
      </x:c>
      <x:c r="H18" s="22" t="n">
        <x:v>-0.3002286004572009</x:v>
      </x:c>
      <x:c r="I18" s="22" t="n">
        <x:v>0.603759207518415</x:v>
      </x:c>
      <x:c r="J18" s="15" t="n">
        <x:v>886920.41</x:v>
      </x:c>
      <x:c r="K18" s="15" t="n">
        <x:v>2528672.27608</x:v>
      </x:c>
      <x:c r="L18" s="17" t="n">
        <x:v>27445</x:v>
      </x:c>
      <x:c r="M18" s="22" t="n">
        <x:v>0.5687001497687938</x:v>
      </x:c>
      <x:c r="N18" s="13" t="n">
        <x:v>120</x:v>
      </x:c>
    </x:row>
    <x:row r="19">
      <x:c r="A19" s="13" t="str">
        <x:v>event</x:v>
      </x:c>
      <x:c r="B19" s="13" t="str">
        <x:v>Flash-crash event window</x:v>
      </x:c>
      <x:c r="C19" s="13" t="str">
        <x:v>Binance ATOMUSDT futures</x:v>
      </x:c>
      <x:c r="D19" s="30" t="n">
        <x:v>3.932</x:v>
      </x:c>
      <x:c r="E19" s="30" t="n">
        <x:v>3.932</x:v>
      </x:c>
      <x:c r="F19" s="30" t="n">
        <x:v>1.46</x:v>
      </x:c>
      <x:c r="G19" s="30" t="n">
        <x:v>2.736</x:v>
      </x:c>
      <x:c r="H19" s="22" t="n">
        <x:v>-0.3041709053916582</x:v>
      </x:c>
      <x:c r="I19" s="22" t="n">
        <x:v>0.6286876907426246</x:v>
      </x:c>
      <x:c r="J19" s="15" t="n">
        <x:v>39327262.23</x:v>
      </x:c>
      <x:c r="K19" s="15" t="n">
        <x:v>113472794.93746</x:v>
      </x:c>
      <x:c r="L19" s="17" t="n">
        <x:v>296550</x:v>
      </x:c>
      <x:c r="M19" s="22" t="n">
        <x:v>0.5589636367626702</x:v>
      </x:c>
      <x:c r="N19" s="13" t="n">
        <x:v>120</x:v>
      </x:c>
    </x:row>
    <x:row r="20">
      <x:c r="A20" s="13" t="str">
        <x:v>event</x:v>
      </x:c>
      <x:c r="B20" s="13" t="str">
        <x:v>Flash-crash event window</x:v>
      </x:c>
      <x:c r="C20" s="13" t="str">
        <x:v>Binance mark price</x:v>
      </x:c>
      <x:c r="D20" s="30" t="n">
        <x:v>3.93245333</x:v>
      </x:c>
      <x:c r="E20" s="30" t="n">
        <x:v>3.93245333</x:v>
      </x:c>
      <x:c r="F20" s="30" t="n">
        <x:v>1.50447</x:v>
      </x:c>
      <x:c r="G20" s="30" t="n">
        <x:v>2.73928028</x:v>
      </x:c>
      <x:c r="H20" s="22" t="n">
        <x:v>-0.3034169638829509</x:v>
      </x:c>
      <x:c r="I20" s="22" t="n">
        <x:v>0.6174220330797925</x:v>
      </x:c>
      <x:c r="J20" s="15" t="n">
        <x:v>0</x:v>
      </x:c>
      <x:c r="K20" s="15" t="n">
        <x:v>0</x:v>
      </x:c>
      <x:c r="L20" s="17" t="n">
        <x:v>7200</x:v>
      </x:c>
      <x:c r="M20" s="22"/>
      <x:c r="N20" s="13" t="n">
        <x:v>120</x:v>
      </x:c>
    </x:row>
    <x:row r="21">
      <x:c r="A21" s="13" t="str">
        <x:v>event</x:v>
      </x:c>
      <x:c r="B21" s="13" t="str">
        <x:v>Flash-crash event window</x:v>
      </x:c>
      <x:c r="C21" s="13" t="str">
        <x:v>Kraken ATOM/USD</x:v>
      </x:c>
      <x:c r="D21" s="30" t="n">
        <x:v>3.9368</x:v>
      </x:c>
      <x:c r="E21" s="30" t="n">
        <x:v>3.9368</x:v>
      </x:c>
      <x:c r="F21" s="30" t="n">
        <x:v>3</x:v>
      </x:c>
      <x:c r="G21" s="30" t="n">
        <x:v>3.6241</x:v>
      </x:c>
      <x:c r="H21" s="22" t="n">
        <x:v>-0.07942999390367811</x:v>
      </x:c>
      <x:c r="I21" s="22" t="n">
        <x:v>0.23795976427555374</x:v>
      </x:c>
      <x:c r="J21" s="15" t="n">
        <x:v>308536.89578212</x:v>
      </x:c>
      <x:c r="K21" s="15" t="n">
        <x:v>1087447.8816404738</x:v>
      </x:c>
      <x:c r="L21" s="17" t="n">
        <x:v>3955</x:v>
      </x:c>
      <x:c r="M21" s="22"/>
      <x:c r="N21" s="13" t="n">
        <x:v>3955</x:v>
      </x:c>
    </x:row>
    <x:row r="22">
      <x:c r="A22" s="13" t="str">
        <x:v>event</x:v>
      </x:c>
      <x:c r="B22" s="13" t="str">
        <x:v>Flash-crash event window</x:v>
      </x:c>
      <x:c r="C22" s="13" t="str">
        <x:v>Coinbase ATOM/USD</x:v>
      </x:c>
      <x:c r="D22" s="30" t="n">
        <x:v>3.937</x:v>
      </x:c>
      <x:c r="E22" s="30" t="n">
        <x:v>3.99</x:v>
      </x:c>
      <x:c r="F22" s="30" t="n">
        <x:v>3.56</x:v>
      </x:c>
      <x:c r="G22" s="30" t="n">
        <x:v>3.784</x:v>
      </x:c>
      <x:c r="H22" s="22" t="n">
        <x:v>-0.03886207772415545</x:v>
      </x:c>
      <x:c r="I22" s="22" t="n">
        <x:v>0.10922021844043688</x:v>
      </x:c>
      <x:c r="J22" s="15" t="n">
        <x:v>588064.47</x:v>
      </x:c>
      <x:c r="K22" s="15" t="n">
        <x:v>0</x:v>
      </x:c>
      <x:c r="L22" s="17" t="n">
        <x:v>0</x:v>
      </x:c>
      <x:c r="M22" s="22"/>
      <x:c r="N22" s="13" t="n">
        <x:v>120</x:v>
      </x:c>
    </x:row>
    <x:row r="23">
      <x:c r="A23" s="13" t="str">
        <x:v>matched_post_day1</x:v>
      </x:c>
      <x:c r="B23" s="13" t="str">
        <x:v>Post-event matched-time sensitivity window</x:v>
      </x:c>
      <x:c r="C23" s="13" t="str">
        <x:v>Binance ATOM/USDT spot</x:v>
      </x:c>
      <x:c r="D23" s="30" t="n">
        <x:v>3.123</x:v>
      </x:c>
      <x:c r="E23" s="30" t="n">
        <x:v>3.167</x:v>
      </x:c>
      <x:c r="F23" s="30" t="n">
        <x:v>3.042</x:v>
      </x:c>
      <x:c r="G23" s="30" t="n">
        <x:v>3.162</x:v>
      </x:c>
      <x:c r="H23" s="22" t="n">
        <x:v>0.012487992315081653</x:v>
      </x:c>
      <x:c r="I23" s="22" t="n">
        <x:v>0.04002561639449247</x:v>
      </x:c>
      <x:c r="J23" s="15" t="n">
        <x:v>487965.25</x:v>
      </x:c>
      <x:c r="K23" s="15" t="n">
        <x:v>1511311.47454</x:v>
      </x:c>
      <x:c r="L23" s="17" t="n">
        <x:v>10767</x:v>
      </x:c>
      <x:c r="M23" s="22" t="n">
        <x:v>0.5776574458939443</x:v>
      </x:c>
      <x:c r="N23" s="13" t="n">
        <x:v>120</x:v>
      </x:c>
    </x:row>
    <x:row r="24">
      <x:c r="A24" s="13" t="str">
        <x:v>matched_post_day1</x:v>
      </x:c>
      <x:c r="B24" s="13" t="str">
        <x:v>Post-event matched-time sensitivity window</x:v>
      </x:c>
      <x:c r="C24" s="13" t="str">
        <x:v>Binance ATOM/USDC spot</x:v>
      </x:c>
      <x:c r="D24" s="30" t="n">
        <x:v>3.125</x:v>
      </x:c>
      <x:c r="E24" s="30" t="n">
        <x:v>3.171</x:v>
      </x:c>
      <x:c r="F24" s="30" t="n">
        <x:v>3.05</x:v>
      </x:c>
      <x:c r="G24" s="30" t="n">
        <x:v>3.166</x:v>
      </x:c>
      <x:c r="H24" s="22" t="n">
        <x:v>0.01312</x:v>
      </x:c>
      <x:c r="I24" s="22" t="n">
        <x:v>0.03872</x:v>
      </x:c>
      <x:c r="J24" s="15" t="n">
        <x:v>113761.82</x:v>
      </x:c>
      <x:c r="K24" s="15" t="n">
        <x:v>352213.20997</x:v>
      </x:c>
      <x:c r="L24" s="17" t="n">
        <x:v>2392</x:v>
      </x:c>
      <x:c r="M24" s="22" t="n">
        <x:v>0.5382138752702796</x:v>
      </x:c>
      <x:c r="N24" s="13" t="n">
        <x:v>120</x:v>
      </x:c>
    </x:row>
    <x:row r="25">
      <x:c r="A25" s="13" t="str">
        <x:v>matched_post_day1</x:v>
      </x:c>
      <x:c r="B25" s="13" t="str">
        <x:v>Post-event matched-time sensitivity window</x:v>
      </x:c>
      <x:c r="C25" s="13" t="str">
        <x:v>Binance ATOMUSDT futures</x:v>
      </x:c>
      <x:c r="D25" s="30" t="n">
        <x:v>3.095</x:v>
      </x:c>
      <x:c r="E25" s="30" t="n">
        <x:v>3.14</x:v>
      </x:c>
      <x:c r="F25" s="30" t="n">
        <x:v>3.014</x:v>
      </x:c>
      <x:c r="G25" s="30" t="n">
        <x:v>3.135</x:v>
      </x:c>
      <x:c r="H25" s="22" t="n">
        <x:v>0.012924071082390954</x:v>
      </x:c>
      <x:c r="I25" s="22" t="n">
        <x:v>0.040710823909531506</x:v>
      </x:c>
      <x:c r="J25" s="15" t="n">
        <x:v>2993472.78</x:v>
      </x:c>
      <x:c r="K25" s="15" t="n">
        <x:v>9206625.32266</x:v>
      </x:c>
      <x:c r="L25" s="17" t="n">
        <x:v>40881</x:v>
      </x:c>
      <x:c r="M25" s="22" t="n">
        <x:v>0.521298469932972</x:v>
      </x:c>
      <x:c r="N25" s="13" t="n">
        <x:v>120</x:v>
      </x:c>
    </x:row>
    <x:row r="26">
      <x:c r="A26" s="13" t="str">
        <x:v>matched_post_day1</x:v>
      </x:c>
      <x:c r="B26" s="13" t="str">
        <x:v>Post-event matched-time sensitivity window</x:v>
      </x:c>
      <x:c r="C26" s="13" t="str">
        <x:v>Binance mark price</x:v>
      </x:c>
      <x:c r="D26" s="30" t="n">
        <x:v>3.09544695</x:v>
      </x:c>
      <x:c r="E26" s="30" t="n">
        <x:v>3.14036857</x:v>
      </x:c>
      <x:c r="F26" s="30" t="n">
        <x:v>3.016608</x:v>
      </x:c>
      <x:c r="G26" s="30" t="n">
        <x:v>3.13402381</x:v>
      </x:c>
      <x:c r="H26" s="22" t="n">
        <x:v>0.012462452312419698</x:v>
      </x:c>
      <x:c r="I26" s="22" t="n">
        <x:v>0.03998148635692174</x:v>
      </x:c>
      <x:c r="J26" s="15" t="n">
        <x:v>0</x:v>
      </x:c>
      <x:c r="K26" s="15" t="n">
        <x:v>0</x:v>
      </x:c>
      <x:c r="L26" s="17" t="n">
        <x:v>7200</x:v>
      </x:c>
      <x:c r="M26" s="22"/>
      <x:c r="N26" s="13" t="n">
        <x:v>120</x:v>
      </x:c>
    </x:row>
    <x:row r="27">
      <x:c r="A27" s="13" t="str">
        <x:v>matched_post_day1</x:v>
      </x:c>
      <x:c r="B27" s="13" t="str">
        <x:v>Post-event matched-time sensitivity window</x:v>
      </x:c>
      <x:c r="C27" s="13" t="str">
        <x:v>Kraken ATOM/USD</x:v>
      </x:c>
      <x:c r="D27" s="30" t="n">
        <x:v>3.1192</x:v>
      </x:c>
      <x:c r="E27" s="30" t="n">
        <x:v>3.1695</x:v>
      </x:c>
      <x:c r="F27" s="30" t="n">
        <x:v>3.0521</x:v>
      </x:c>
      <x:c r="G27" s="30" t="n">
        <x:v>3.166</x:v>
      </x:c>
      <x:c r="H27" s="22" t="n">
        <x:v>0.015003847140292383</x:v>
      </x:c>
      <x:c r="I27" s="22" t="n">
        <x:v>0.03763785586047705</x:v>
      </x:c>
      <x:c r="J27" s="15" t="n">
        <x:v>33274.94667128</x:v>
      </x:c>
      <x:c r="K27" s="15" t="n">
        <x:v>103240.80750332148</x:v>
      </x:c>
      <x:c r="L27" s="17" t="n">
        <x:v>494</x:v>
      </x:c>
      <x:c r="M27" s="22"/>
      <x:c r="N27" s="13" t="n">
        <x:v>494</x:v>
      </x:c>
    </x:row>
    <x:row r="28">
      <x:c r="A28" s="13" t="str">
        <x:v>matched_post_day1</x:v>
      </x:c>
      <x:c r="B28" s="13" t="str">
        <x:v>Post-event matched-time sensitivity window</x:v>
      </x:c>
      <x:c r="C28" s="13" t="str">
        <x:v>Coinbase ATOM/USD</x:v>
      </x:c>
      <x:c r="D28" s="30" t="n">
        <x:v>3.129</x:v>
      </x:c>
      <x:c r="E28" s="30" t="n">
        <x:v>3.173</x:v>
      </x:c>
      <x:c r="F28" s="30" t="n">
        <x:v>3.042</x:v>
      </x:c>
      <x:c r="G28" s="30" t="n">
        <x:v>3.165</x:v>
      </x:c>
      <x:c r="H28" s="22" t="n">
        <x:v>0.011505273250239693</x:v>
      </x:c>
      <x:c r="I28" s="22" t="n">
        <x:v>0.04186641099392777</x:v>
      </x:c>
      <x:c r="J28" s="15" t="n">
        <x:v>155204.48</x:v>
      </x:c>
      <x:c r="K28" s="15" t="n">
        <x:v>0</x:v>
      </x:c>
      <x:c r="L28" s="17" t="n">
        <x:v>0</x:v>
      </x:c>
      <x:c r="M28" s="22"/>
      <x:c r="N28" s="13" t="n">
        <x:v>116</x:v>
      </x:c>
    </x:row>
    <x:row r="29">
      <x:c r="A29" s="13" t="str">
        <x:v>matched_post_day2</x:v>
      </x:c>
      <x:c r="B29" s="13" t="str">
        <x:v>Post-event matched-time sensitivity window</x:v>
      </x:c>
      <x:c r="C29" s="13" t="str">
        <x:v>Binance ATOM/USDT spot</x:v>
      </x:c>
      <x:c r="D29" s="30" t="n">
        <x:v>3.52</x:v>
      </x:c>
      <x:c r="E29" s="30" t="n">
        <x:v>3.55</x:v>
      </x:c>
      <x:c r="F29" s="30" t="n">
        <x:v>3.451</x:v>
      </x:c>
      <x:c r="G29" s="30" t="n">
        <x:v>3.476</x:v>
      </x:c>
      <x:c r="H29" s="22" t="n">
        <x:v>-0.0125</x:v>
      </x:c>
      <x:c r="I29" s="22" t="n">
        <x:v>0.028125</x:v>
      </x:c>
      <x:c r="J29" s="15" t="n">
        <x:v>273510.1</x:v>
      </x:c>
      <x:c r="K29" s="15" t="n">
        <x:v>955912.47765</x:v>
      </x:c>
      <x:c r="L29" s="17" t="n">
        <x:v>5909</x:v>
      </x:c>
      <x:c r="M29" s="22" t="n">
        <x:v>0.5013860182859792</x:v>
      </x:c>
      <x:c r="N29" s="13" t="n">
        <x:v>120</x:v>
      </x:c>
    </x:row>
    <x:row r="30">
      <x:c r="A30" s="13" t="str">
        <x:v>matched_post_day2</x:v>
      </x:c>
      <x:c r="B30" s="13" t="str">
        <x:v>Post-event matched-time sensitivity window</x:v>
      </x:c>
      <x:c r="C30" s="13" t="str">
        <x:v>Binance ATOM/USDC spot</x:v>
      </x:c>
      <x:c r="D30" s="30" t="n">
        <x:v>3.523</x:v>
      </x:c>
      <x:c r="E30" s="30" t="n">
        <x:v>3.553</x:v>
      </x:c>
      <x:c r="F30" s="30" t="n">
        <x:v>3.454</x:v>
      </x:c>
      <x:c r="G30" s="30" t="n">
        <x:v>3.479</x:v>
      </x:c>
      <x:c r="H30" s="22" t="n">
        <x:v>-0.012489355662787398</x:v>
      </x:c>
      <x:c r="I30" s="22" t="n">
        <x:v>0.028101050241271644</x:v>
      </x:c>
      <x:c r="J30" s="15" t="n">
        <x:v>65325.36</x:v>
      </x:c>
      <x:c r="K30" s="15" t="n">
        <x:v>228601.35512</x:v>
      </x:c>
      <x:c r="L30" s="17" t="n">
        <x:v>1436</x:v>
      </x:c>
      <x:c r="M30" s="22" t="n">
        <x:v>0.5010853365369896</x:v>
      </x:c>
      <x:c r="N30" s="13" t="n">
        <x:v>120</x:v>
      </x:c>
    </x:row>
    <x:row r="31">
      <x:c r="A31" s="13" t="str">
        <x:v>matched_post_day2</x:v>
      </x:c>
      <x:c r="B31" s="13" t="str">
        <x:v>Post-event matched-time sensitivity window</x:v>
      </x:c>
      <x:c r="C31" s="13" t="str">
        <x:v>Binance ATOMUSDT futures</x:v>
      </x:c>
      <x:c r="D31" s="30" t="n">
        <x:v>3.517</x:v>
      </x:c>
      <x:c r="E31" s="30" t="n">
        <x:v>3.547</x:v>
      </x:c>
      <x:c r="F31" s="30" t="n">
        <x:v>3.444</x:v>
      </x:c>
      <x:c r="G31" s="30" t="n">
        <x:v>3.469</x:v>
      </x:c>
      <x:c r="H31" s="22" t="n">
        <x:v>-0.013647995450668183</x:v>
      </x:c>
      <x:c r="I31" s="22" t="n">
        <x:v>0.029286323571225473</x:v>
      </x:c>
      <x:c r="J31" s="15" t="n">
        <x:v>1151395.07</x:v>
      </x:c>
      <x:c r="K31" s="15" t="n">
        <x:v>4025628.7859</x:v>
      </x:c>
      <x:c r="L31" s="17" t="n">
        <x:v>24189</x:v>
      </x:c>
      <x:c r="M31" s="22" t="n">
        <x:v>0.542042637024666</x:v>
      </x:c>
      <x:c r="N31" s="13" t="n">
        <x:v>120</x:v>
      </x:c>
    </x:row>
    <x:row r="32">
      <x:c r="A32" s="13" t="str">
        <x:v>matched_post_day2</x:v>
      </x:c>
      <x:c r="B32" s="13" t="str">
        <x:v>Post-event matched-time sensitivity window</x:v>
      </x:c>
      <x:c r="C32" s="13" t="str">
        <x:v>Binance mark price</x:v>
      </x:c>
      <x:c r="D32" s="30" t="n">
        <x:v>3.517</x:v>
      </x:c>
      <x:c r="E32" s="30" t="n">
        <x:v>3.546</x:v>
      </x:c>
      <x:c r="F32" s="30" t="n">
        <x:v>3.44545905</x:v>
      </x:c>
      <x:c r="G32" s="30" t="n">
        <x:v>3.469</x:v>
      </x:c>
      <x:c r="H32" s="22" t="n">
        <x:v>-0.013647995450668183</x:v>
      </x:c>
      <x:c r="I32" s="22" t="n">
        <x:v>0.028587133920955358</x:v>
      </x:c>
      <x:c r="J32" s="15" t="n">
        <x:v>0</x:v>
      </x:c>
      <x:c r="K32" s="15" t="n">
        <x:v>0</x:v>
      </x:c>
      <x:c r="L32" s="17" t="n">
        <x:v>7197</x:v>
      </x:c>
      <x:c r="M32" s="22"/>
      <x:c r="N32" s="13" t="n">
        <x:v>120</x:v>
      </x:c>
    </x:row>
    <x:row r="33">
      <x:c r="A33" s="13" t="str">
        <x:v>matched_post_day2</x:v>
      </x:c>
      <x:c r="B33" s="13" t="str">
        <x:v>Post-event matched-time sensitivity window</x:v>
      </x:c>
      <x:c r="C33" s="13" t="str">
        <x:v>Kraken ATOM/USD</x:v>
      </x:c>
      <x:c r="D33" s="30" t="n">
        <x:v>3.518</x:v>
      </x:c>
      <x:c r="E33" s="30" t="n">
        <x:v>3.553</x:v>
      </x:c>
      <x:c r="F33" s="30" t="n">
        <x:v>3.4537</x:v>
      </x:c>
      <x:c r="G33" s="30" t="n">
        <x:v>3.4766</x:v>
      </x:c>
      <x:c r="H33" s="22" t="n">
        <x:v>-0.011768050028425242</x:v>
      </x:c>
      <x:c r="I33" s="22" t="n">
        <x:v>0.028226264923251847</x:v>
      </x:c>
      <x:c r="J33" s="15" t="n">
        <x:v>25173.42285874</x:v>
      </x:c>
      <x:c r="K33" s="15" t="n">
        <x:v>88192.92336851086</x:v>
      </x:c>
      <x:c r="L33" s="17" t="n">
        <x:v>295</x:v>
      </x:c>
      <x:c r="M33" s="22"/>
      <x:c r="N33" s="13" t="n">
        <x:v>295</x:v>
      </x:c>
    </x:row>
    <x:row r="34">
      <x:c r="A34" s="13" t="str">
        <x:v>matched_post_day2</x:v>
      </x:c>
      <x:c r="B34" s="13" t="str">
        <x:v>Post-event matched-time sensitivity window</x:v>
      </x:c>
      <x:c r="C34" s="13" t="str">
        <x:v>Coinbase ATOM/USD</x:v>
      </x:c>
      <x:c r="D34" s="30" t="n">
        <x:v>3.517</x:v>
      </x:c>
      <x:c r="E34" s="30" t="n">
        <x:v>3.554</x:v>
      </x:c>
      <x:c r="F34" s="30" t="n">
        <x:v>3.454</x:v>
      </x:c>
      <x:c r="G34" s="30" t="n">
        <x:v>3.48</x:v>
      </x:c>
      <x:c r="H34" s="22" t="n">
        <x:v>-0.010520329826556724</x:v>
      </x:c>
      <x:c r="I34" s="22" t="n">
        <x:v>0.028433323855558714</x:v>
      </x:c>
      <x:c r="J34" s="15" t="n">
        <x:v>59461.81</x:v>
      </x:c>
      <x:c r="K34" s="15" t="n">
        <x:v>0</x:v>
      </x:c>
      <x:c r="L34" s="17" t="n">
        <x:v>0</x:v>
      </x:c>
      <x:c r="M34" s="22"/>
      <x:c r="N34" s="13" t="n">
        <x:v>120</x:v>
      </x:c>
    </x:row>
    <x:row r="38">
      <x:c r="A38" s="9" t="str">
        <x:v>Window</x:v>
      </x:c>
      <x:c r="B38" s="10" t="str">
        <x:v>Max USDT discount vs USDC</x:v>
      </x:c>
      <x:c r="C38" s="10" t="str">
        <x:v>Minute UTC</x:v>
      </x:c>
      <x:c r="D38" s="10" t="str">
        <x:v>Max USDT discount vs Coinbase</x:v>
      </x:c>
      <x:c r="E38" s="11" t="str">
        <x:v>Minute UTC</x:v>
      </x:c>
    </x:row>
    <x:row r="39">
      <x:c r="A39" s="12" t="str">
        <x:v>matched_pre_day</x:v>
      </x:c>
      <x:c r="B39" s="31" t="n">
        <x:v>0.0014851485148514852</x:v>
      </x:c>
      <x:c r="C39" s="12" t="str">
        <x:v>2025-10-09 20:42:00 UTC</x:v>
      </x:c>
      <x:c r="D39" s="31" t="n">
        <x:v>0.001482213438735178</x:v>
      </x:c>
      <x:c r="E39" s="12" t="str">
        <x:v>2025-10-09 21:50:00 UTC</x:v>
      </x:c>
    </x:row>
    <x:row r="40">
      <x:c r="A40" s="13" t="str">
        <x:v>same_day_pre</x:v>
      </x:c>
      <x:c r="B40" s="32" t="n">
        <x:v>0.0020304568527918783</x:v>
      </x:c>
      <x:c r="C40" s="13" t="str">
        <x:v>2025-10-10 19:00:00 UTC</x:v>
      </x:c>
      <x:c r="D40" s="32" t="n">
        <x:v>0.0064432989690721655</x:v>
      </x:c>
      <x:c r="E40" s="13" t="str">
        <x:v>2025-10-10 19:29:00 UTC</x:v>
      </x:c>
    </x:row>
    <x:row r="41">
      <x:c r="A41" s="23" t="str">
        <x:v>event</x:v>
      </x:c>
      <x:c r="B41" s="33" t="n">
        <x:v>0.9993710691823899</x:v>
      </x:c>
      <x:c r="C41" s="23" t="str">
        <x:v>2025-10-10 21:20:00 UTC</x:v>
      </x:c>
      <x:c r="D41" s="33" t="n">
        <x:v>0.9997191011235955</x:v>
      </x:c>
      <x:c r="E41" s="23" t="str">
        <x:v>2025-10-10 21:20:00 UTC</x:v>
      </x:c>
    </x:row>
    <x:row r="42">
      <x:c r="A42" s="13" t="str">
        <x:v>matched_post_day1</x:v>
      </x:c>
      <x:c r="B42" s="32" t="n">
        <x:v>0.0045045045045045045</x:v>
      </x:c>
      <x:c r="C42" s="13" t="str">
        <x:v>2025-10-11 20:33:00 UTC</x:v>
      </x:c>
      <x:c r="D42" s="32" t="n">
        <x:v>0.010403120936280884</x:v>
      </x:c>
      <x:c r="E42" s="13" t="str">
        <x:v>2025-10-11 21:06:00 UTC</x:v>
      </x:c>
    </x:row>
    <x:row r="43">
      <x:c r="A43" s="13" t="str">
        <x:v>matched_post_day2</x:v>
      </x:c>
      <x:c r="B43" s="32" t="n">
        <x:v>0.003141959440159954</x:v>
      </x:c>
      <x:c r="C43" s="13" t="str">
        <x:v>2025-10-12 22:02:00 UTC</x:v>
      </x:c>
      <x:c r="D43" s="32" t="n">
        <x:v>0.003967129498441485</x:v>
      </x:c>
      <x:c r="E43" s="13" t="str">
        <x:v>2025-10-12 20:32:00 UTC</x:v>
      </x:c>
    </x:row>
  </x:sheetData>
  <x:mergeCells>
    <x:mergeCell ref="A1:N2"/>
  </x:mergeCells>
  <x:conditionalFormatting sqref="A5:N34">
    <x:cfRule type="expression" dxfId="9" priority="1">
      <x:formula>$A5="event"</x:formula>
    </x:cfRule>
  </x:conditionalFormatting>
  <x:pageMargins left="0.7" right="0.7" top="0.75" bottom="0.75" header="0.3" footer="0.3"/>
  <x:drawing xmlns:r="http://schemas.openxmlformats.org/officeDocument/2006/relationships" r:id="R32fad1e41ad74f1c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9" t="str">
        <x:v>Window</x:v>
      </x:c>
      <x:c r="B1" s="10" t="str">
        <x:v>Start UTC</x:v>
      </x:c>
      <x:c r="C1" s="10" t="str">
        <x:v>Direct ATOM</x:v>
      </x:c>
      <x:c r="D1" s="10" t="str">
        <x:v>Structured in</x:v>
      </x:c>
      <x:c r="E1" s="10" t="str">
        <x:v>Watchlist in</x:v>
      </x:c>
      <x:c r="F1" s="10" t="str">
        <x:v>CEX in</x:v>
      </x:c>
      <x:c r="G1" s="10" t="str">
        <x:v>CEX out</x:v>
      </x:c>
      <x:c r="H1" s="10" t="str">
        <x:v>CEX net</x:v>
      </x:c>
      <x:c r="I1" s="10" t="str">
        <x:v>IBC in</x:v>
      </x:c>
      <x:c r="J1" s="10" t="str">
        <x:v>IBC out</x:v>
      </x:c>
      <x:c r="K1" s="10" t="str">
        <x:v>IBC net</x:v>
      </x:c>
      <x:c r="L1" s="10" t="str">
        <x:v>Binance range</x:v>
      </x:c>
      <x:c r="M1" s="10" t="str">
        <x:v>Binance base vol</x:v>
      </x:c>
      <x:c r="N1" s="10" t="str">
        <x:v>Binance quote vol</x:v>
      </x:c>
      <x:c r="O1" s="11" t="str">
        <x:v>Binance trades</x:v>
      </x:c>
    </x:row>
    <x:row r="2">
      <x:c r="A2" s="12" t="str">
        <x:v>control_2025-10-09_0000</x:v>
      </x:c>
      <x:c r="B2" s="12" t="str">
        <x:v>2025-10-09 00:00:00 UTC</x:v>
      </x:c>
      <x:c r="C2" s="14" t="n">
        <x:v>628983.919979</x:v>
      </x:c>
      <x:c r="D2" s="14" t="n">
        <x:v>333999.879691</x:v>
      </x:c>
      <x:c r="E2" s="14" t="n">
        <x:v>120532.294688</x:v>
      </x:c>
      <x:c r="F2" s="14" t="n">
        <x:v>89676.378769</x:v>
      </x:c>
      <x:c r="G2" s="14" t="n">
        <x:v>90740.112771</x:v>
      </x:c>
      <x:c r="H2" s="14" t="n">
        <x:v>-1063.734002</x:v>
      </x:c>
      <x:c r="I2" s="14" t="n">
        <x:v>14072.542047</x:v>
      </x:c>
      <x:c r="J2" s="14" t="n">
        <x:v>20590.508966</x:v>
      </x:c>
      <x:c r="K2" s="14" t="n">
        <x:v>-6517.966919</x:v>
      </x:c>
      <x:c r="L2" s="21" t="n">
        <x:v>0.01725377426312006</x:v>
      </x:c>
      <x:c r="M2" s="14" t="n">
        <x:v>99954.33</x:v>
      </x:c>
      <x:c r="N2" s="14" t="n">
        <x:v>414354.2145</x:v>
      </x:c>
      <x:c r="O2" s="16" t="n">
        <x:v>2608</x:v>
      </x:c>
    </x:row>
    <x:row r="3">
      <x:c r="A3" s="13" t="str">
        <x:v>control_2025-10-09_0200</x:v>
      </x:c>
      <x:c r="B3" s="13" t="str">
        <x:v>2025-10-09 02:00:00 UTC</x:v>
      </x:c>
      <x:c r="C3" s="15" t="n">
        <x:v>444155.619709</x:v>
      </x:c>
      <x:c r="D3" s="15" t="n">
        <x:v>97943.237343</x:v>
      </x:c>
      <x:c r="E3" s="15" t="n">
        <x:v>312874.666402</x:v>
      </x:c>
      <x:c r="F3" s="15" t="n">
        <x:v>21136.211337</x:v>
      </x:c>
      <x:c r="G3" s="15" t="n">
        <x:v>13779.138424</x:v>
      </x:c>
      <x:c r="H3" s="15" t="n">
        <x:v>7357.072913</x:v>
      </x:c>
      <x:c r="I3" s="15" t="n">
        <x:v>6114.572263</x:v>
      </x:c>
      <x:c r="J3" s="15" t="n">
        <x:v>28919.014458</x:v>
      </x:c>
      <x:c r="K3" s="15" t="n">
        <x:v>-22804.442195</x:v>
      </x:c>
      <x:c r="L3" s="22" t="n">
        <x:v>0.018410852713178293</x:v>
      </x:c>
      <x:c r="M3" s="15" t="n">
        <x:v>116707.59</x:v>
      </x:c>
      <x:c r="N3" s="15" t="n">
        <x:v>476631.3035</x:v>
      </x:c>
      <x:c r="O3" s="17" t="n">
        <x:v>3173</x:v>
      </x:c>
    </x:row>
    <x:row r="4">
      <x:c r="A4" s="13" t="str">
        <x:v>control_2025-10-09_0400</x:v>
      </x:c>
      <x:c r="B4" s="13" t="str">
        <x:v>2025-10-09 04:00:00 UTC</x:v>
      </x:c>
      <x:c r="C4" s="15" t="n">
        <x:v>203780.353671</x:v>
      </x:c>
      <x:c r="D4" s="15" t="n">
        <x:v>117379.881047</x:v>
      </x:c>
      <x:c r="E4" s="15" t="n">
        <x:v>32097.440201</x:v>
      </x:c>
      <x:c r="F4" s="15" t="n">
        <x:v>30685.021287</x:v>
      </x:c>
      <x:c r="G4" s="15" t="n">
        <x:v>30340.363818</x:v>
      </x:c>
      <x:c r="H4" s="15" t="n">
        <x:v>344.657469</x:v>
      </x:c>
      <x:c r="I4" s="15" t="n">
        <x:v>7713.432061</x:v>
      </x:c>
      <x:c r="J4" s="15" t="n">
        <x:v>15725.791244</x:v>
      </x:c>
      <x:c r="K4" s="15" t="n">
        <x:v>-8012.359183</x:v>
      </x:c>
      <x:c r="L4" s="22" t="n">
        <x:v>0.007334963325183375</x:v>
      </x:c>
      <x:c r="M4" s="15" t="n">
        <x:v>73689.66</x:v>
      </x:c>
      <x:c r="N4" s="15" t="n">
        <x:v>301809.70014</x:v>
      </x:c>
      <x:c r="O4" s="17" t="n">
        <x:v>1853</x:v>
      </x:c>
    </x:row>
    <x:row r="5">
      <x:c r="A5" s="13" t="str">
        <x:v>control_2025-10-09_0600</x:v>
      </x:c>
      <x:c r="B5" s="13" t="str">
        <x:v>2025-10-09 06:00:00 UTC</x:v>
      </x:c>
      <x:c r="C5" s="15" t="n">
        <x:v>244070.854566</x:v>
      </x:c>
      <x:c r="D5" s="15" t="n">
        <x:v>90840.756201</x:v>
      </x:c>
      <x:c r="E5" s="15" t="n">
        <x:v>79949.457712</x:v>
      </x:c>
      <x:c r="F5" s="15" t="n">
        <x:v>30623.44515</x:v>
      </x:c>
      <x:c r="G5" s="15" t="n">
        <x:v>40111.169632</x:v>
      </x:c>
      <x:c r="H5" s="15" t="n">
        <x:v>-9487.724482</x:v>
      </x:c>
      <x:c r="I5" s="15" t="n">
        <x:v>5023.127426</x:v>
      </x:c>
      <x:c r="J5" s="15" t="n">
        <x:v>13129.590153</x:v>
      </x:c>
      <x:c r="K5" s="15" t="n">
        <x:v>-8106.462727</x:v>
      </x:c>
      <x:c r="L5" s="22" t="n">
        <x:v>0.009782342871117632</x:v>
      </x:c>
      <x:c r="M5" s="15" t="n">
        <x:v>91803.38</x:v>
      </x:c>
      <x:c r="N5" s="15" t="n">
        <x:v>373804.55804</x:v>
      </x:c>
      <x:c r="O5" s="17" t="n">
        <x:v>2430</x:v>
      </x:c>
    </x:row>
    <x:row r="6">
      <x:c r="A6" s="13" t="str">
        <x:v>control_2025-10-09_0800</x:v>
      </x:c>
      <x:c r="B6" s="13" t="str">
        <x:v>2025-10-09 08:00:00 UTC</x:v>
      </x:c>
      <x:c r="C6" s="15" t="n">
        <x:v>1140146.874367</x:v>
      </x:c>
      <x:c r="D6" s="15" t="n">
        <x:v>262822.152438</x:v>
      </x:c>
      <x:c r="E6" s="15" t="n">
        <x:v>190417.871979</x:v>
      </x:c>
      <x:c r="F6" s="15" t="n">
        <x:v>54171.867264</x:v>
      </x:c>
      <x:c r="G6" s="15" t="n">
        <x:v>47267.985864</x:v>
      </x:c>
      <x:c r="H6" s="15" t="n">
        <x:v>6903.8814</x:v>
      </x:c>
      <x:c r="I6" s="15" t="n">
        <x:v>98645.65998</x:v>
      </x:c>
      <x:c r="J6" s="15" t="n">
        <x:v>13023.109149</x:v>
      </x:c>
      <x:c r="K6" s="15" t="n">
        <x:v>85622.550831</x:v>
      </x:c>
      <x:c r="L6" s="22" t="n">
        <x:v>0.01576354679802956</x:v>
      </x:c>
      <x:c r="M6" s="15" t="n">
        <x:v>234505.34</x:v>
      </x:c>
      <x:c r="N6" s="15" t="n">
        <x:v>944475.03719</x:v>
      </x:c>
      <x:c r="O6" s="17" t="n">
        <x:v>6423</x:v>
      </x:c>
    </x:row>
    <x:row r="7">
      <x:c r="A7" s="13" t="str">
        <x:v>control_2025-10-09_1000</x:v>
      </x:c>
      <x:c r="B7" s="13" t="str">
        <x:v>2025-10-09 10:00:00 UTC</x:v>
      </x:c>
      <x:c r="C7" s="15" t="n">
        <x:v>367283.267296</x:v>
      </x:c>
      <x:c r="D7" s="15" t="n">
        <x:v>244811.444198</x:v>
      </x:c>
      <x:c r="E7" s="15" t="n">
        <x:v>74883.335936</x:v>
      </x:c>
      <x:c r="F7" s="15" t="n">
        <x:v>71257.103373</x:v>
      </x:c>
      <x:c r="G7" s="15" t="n">
        <x:v>70255.663373</x:v>
      </x:c>
      <x:c r="H7" s="15" t="n">
        <x:v>1001.44</x:v>
      </x:c>
      <x:c r="I7" s="15" t="n">
        <x:v>14349.909816</x:v>
      </x:c>
      <x:c r="J7" s="15" t="n">
        <x:v>6027.746514</x:v>
      </x:c>
      <x:c r="K7" s="15" t="n">
        <x:v>8322.163302</x:v>
      </x:c>
      <x:c r="L7" s="22" t="n">
        <x:v>0.011169024571854059</x:v>
      </x:c>
      <x:c r="M7" s="15" t="n">
        <x:v>212011.44</x:v>
      </x:c>
      <x:c r="N7" s="15" t="n">
        <x:v>855445.30472</x:v>
      </x:c>
      <x:c r="O7" s="17" t="n">
        <x:v>4132</x:v>
      </x:c>
    </x:row>
    <x:row r="8">
      <x:c r="A8" s="13" t="str">
        <x:v>control_2025-10-09_1200</x:v>
      </x:c>
      <x:c r="B8" s="13" t="str">
        <x:v>2025-10-09 12:00:00 UTC</x:v>
      </x:c>
      <x:c r="C8" s="15" t="n">
        <x:v>1162689.474715</x:v>
      </x:c>
      <x:c r="D8" s="15" t="n">
        <x:v>558120.452662</x:v>
      </x:c>
      <x:c r="E8" s="15" t="n">
        <x:v>43197.12959</x:v>
      </x:c>
      <x:c r="F8" s="15" t="n">
        <x:v>43707.175721</x:v>
      </x:c>
      <x:c r="G8" s="15" t="n">
        <x:v>42086.655176</x:v>
      </x:c>
      <x:c r="H8" s="15" t="n">
        <x:v>1620.520545</x:v>
      </x:c>
      <x:c r="I8" s="15" t="n">
        <x:v>23658.865276</x:v>
      </x:c>
      <x:c r="J8" s="15" t="n">
        <x:v>9126.3073</x:v>
      </x:c>
      <x:c r="K8" s="15" t="n">
        <x:v>14532.557976</x:v>
      </x:c>
      <x:c r="L8" s="22" t="n">
        <x:v>0.014388489208633093</x:v>
      </x:c>
      <x:c r="M8" s="15" t="n">
        <x:v>161746.78</x:v>
      </x:c>
      <x:c r="N8" s="15" t="n">
        <x:v>654904.07619</x:v>
      </x:c>
      <x:c r="O8" s="17" t="n">
        <x:v>3682</x:v>
      </x:c>
    </x:row>
    <x:row r="9">
      <x:c r="A9" s="13" t="str">
        <x:v>control_2025-10-09_1400</x:v>
      </x:c>
      <x:c r="B9" s="13" t="str">
        <x:v>2025-10-09 14:00:00 UTC</x:v>
      </x:c>
      <x:c r="C9" s="15" t="n">
        <x:v>627876.355282</x:v>
      </x:c>
      <x:c r="D9" s="15" t="n">
        <x:v>281097.774606</x:v>
      </x:c>
      <x:c r="E9" s="15" t="n">
        <x:v>62474.889206</x:v>
      </x:c>
      <x:c r="F9" s="15" t="n">
        <x:v>50169.016677</x:v>
      </x:c>
      <x:c r="G9" s="15" t="n">
        <x:v>44885.617409</x:v>
      </x:c>
      <x:c r="H9" s="15" t="n">
        <x:v>5283.399268</x:v>
      </x:c>
      <x:c r="I9" s="15" t="n">
        <x:v>28594.3614</x:v>
      </x:c>
      <x:c r="J9" s="15" t="n">
        <x:v>8762.185725</x:v>
      </x:c>
      <x:c r="K9" s="15" t="n">
        <x:v>19832.175675</x:v>
      </x:c>
      <x:c r="L9" s="22" t="n">
        <x:v>0.013184079601990051</x:v>
      </x:c>
      <x:c r="M9" s="15" t="n">
        <x:v>274395.67</x:v>
      </x:c>
      <x:c r="N9" s="15" t="n">
        <x:v>1100585.5888</x:v>
      </x:c>
      <x:c r="O9" s="17" t="n">
        <x:v>6010</x:v>
      </x:c>
    </x:row>
    <x:row r="10">
      <x:c r="A10" s="13" t="str">
        <x:v>control_2025-10-09_1600</x:v>
      </x:c>
      <x:c r="B10" s="13" t="str">
        <x:v>2025-10-09 16:00:00 UTC</x:v>
      </x:c>
      <x:c r="C10" s="15" t="n">
        <x:v>515072.607007</x:v>
      </x:c>
      <x:c r="D10" s="15" t="n">
        <x:v>322402.740995</x:v>
      </x:c>
      <x:c r="E10" s="15" t="n">
        <x:v>144195.504739</x:v>
      </x:c>
      <x:c r="F10" s="15" t="n">
        <x:v>102527.943733</x:v>
      </x:c>
      <x:c r="G10" s="15" t="n">
        <x:v>103606.673141</x:v>
      </x:c>
      <x:c r="H10" s="15" t="n">
        <x:v>-1078.729408</x:v>
      </x:c>
      <x:c r="I10" s="15" t="n">
        <x:v>116470.787172</x:v>
      </x:c>
      <x:c r="J10" s="15" t="n">
        <x:v>29535.296236</x:v>
      </x:c>
      <x:c r="K10" s="15" t="n">
        <x:v>86935.490936</x:v>
      </x:c>
      <x:c r="L10" s="22" t="n">
        <x:v>0.0149514079242462</x:v>
      </x:c>
      <x:c r="M10" s="15" t="n">
        <x:v>249600.46</x:v>
      </x:c>
      <x:c r="N10" s="15" t="n">
        <x:v>1002255.53826</x:v>
      </x:c>
      <x:c r="O10" s="17" t="n">
        <x:v>4704</x:v>
      </x:c>
    </x:row>
    <x:row r="11">
      <x:c r="A11" s="13" t="str">
        <x:v>control_2025-10-09_1800</x:v>
      </x:c>
      <x:c r="B11" s="13" t="str">
        <x:v>2025-10-09 18:00:00 UTC</x:v>
      </x:c>
      <x:c r="C11" s="15" t="n">
        <x:v>352381.484448</x:v>
      </x:c>
      <x:c r="D11" s="15" t="n">
        <x:v>126206.274572</x:v>
      </x:c>
      <x:c r="E11" s="15" t="n">
        <x:v>142406.897024</x:v>
      </x:c>
      <x:c r="F11" s="15" t="n">
        <x:v>33093.563147</x:v>
      </x:c>
      <x:c r="G11" s="15" t="n">
        <x:v>30347.15361</x:v>
      </x:c>
      <x:c r="H11" s="15" t="n">
        <x:v>2746.409537</x:v>
      </x:c>
      <x:c r="I11" s="15" t="n">
        <x:v>26934.525764</x:v>
      </x:c>
      <x:c r="J11" s="15" t="n">
        <x:v>29675.469764</x:v>
      </x:c>
      <x:c r="K11" s="15" t="n">
        <x:v>-2740.944</x:v>
      </x:c>
      <x:c r="L11" s="22" t="n">
        <x:v>0.007167572911517548</x:v>
      </x:c>
      <x:c r="M11" s="15" t="n">
        <x:v>113415.06</x:v>
      </x:c>
      <x:c r="N11" s="15" t="n">
        <x:v>458229.08606</x:v>
      </x:c>
      <x:c r="O11" s="17" t="n">
        <x:v>2190</x:v>
      </x:c>
    </x:row>
    <x:row r="12">
      <x:c r="A12" s="13" t="str">
        <x:v>control_2025-10-09_2000</x:v>
      </x:c>
      <x:c r="B12" s="13" t="str">
        <x:v>2025-10-09 20:00:00 UTC</x:v>
      </x:c>
      <x:c r="C12" s="15" t="n">
        <x:v>670135.848872</x:v>
      </x:c>
      <x:c r="D12" s="15" t="n">
        <x:v>123660.946247</x:v>
      </x:c>
      <x:c r="E12" s="15" t="n">
        <x:v>86313.019023</x:v>
      </x:c>
      <x:c r="F12" s="15" t="n">
        <x:v>43488.29106</x:v>
      </x:c>
      <x:c r="G12" s="15" t="n">
        <x:v>47653.374212</x:v>
      </x:c>
      <x:c r="H12" s="15" t="n">
        <x:v>-4165.083152</x:v>
      </x:c>
      <x:c r="I12" s="15" t="n">
        <x:v>28714.88025</x:v>
      </x:c>
      <x:c r="J12" s="15" t="n">
        <x:v>43890.492645</x:v>
      </x:c>
      <x:c r="K12" s="15" t="n">
        <x:v>-15175.612395</x:v>
      </x:c>
      <x:c r="L12" s="22" t="n">
        <x:v>0.0049541738915035915</x:v>
      </x:c>
      <x:c r="M12" s="15" t="n">
        <x:v>83490.83</x:v>
      </x:c>
      <x:c r="N12" s="15" t="n">
        <x:v>337299.13479</x:v>
      </x:c>
      <x:c r="O12" s="17" t="n">
        <x:v>1669</x:v>
      </x:c>
    </x:row>
    <x:row r="13">
      <x:c r="A13" s="13" t="str">
        <x:v>control_2025-10-09_2200</x:v>
      </x:c>
      <x:c r="B13" s="13" t="str">
        <x:v>2025-10-09 22:00:00 UTC</x:v>
      </x:c>
      <x:c r="C13" s="15" t="n">
        <x:v>418200.13347</x:v>
      </x:c>
      <x:c r="D13" s="15" t="n">
        <x:v>257619.746351</x:v>
      </x:c>
      <x:c r="E13" s="15" t="n">
        <x:v>91945.276016</x:v>
      </x:c>
      <x:c r="F13" s="15" t="n">
        <x:v>84851.883774</x:v>
      </x:c>
      <x:c r="G13" s="15" t="n">
        <x:v>86816.752511</x:v>
      </x:c>
      <x:c r="H13" s="15" t="n">
        <x:v>-1964.868737</x:v>
      </x:c>
      <x:c r="I13" s="15" t="n">
        <x:v>17568.022198</x:v>
      </x:c>
      <x:c r="J13" s="15" t="n">
        <x:v>15721.326884</x:v>
      </x:c>
      <x:c r="K13" s="15" t="n">
        <x:v>1846.695314</x:v>
      </x:c>
      <x:c r="L13" s="22" t="n">
        <x:v>0.007409236848604593</x:v>
      </x:c>
      <x:c r="M13" s="15" t="n">
        <x:v>86825.56</x:v>
      </x:c>
      <x:c r="N13" s="15" t="n">
        <x:v>352335.23171</x:v>
      </x:c>
      <x:c r="O13" s="17" t="n">
        <x:v>2135</x:v>
      </x:c>
    </x:row>
    <x:row r="14">
      <x:c r="A14" s="13" t="str">
        <x:v>control_2025-10-11_0000</x:v>
      </x:c>
      <x:c r="B14" s="13" t="str">
        <x:v>2025-10-11 00:00:00 UTC</x:v>
      </x:c>
      <x:c r="C14" s="15" t="n">
        <x:v>7039593.240057</x:v>
      </x:c>
      <x:c r="D14" s="15" t="n">
        <x:v>2866117.131865</x:v>
      </x:c>
      <x:c r="E14" s="15" t="n">
        <x:v>1920236.230509</x:v>
      </x:c>
      <x:c r="F14" s="15" t="n">
        <x:v>418121.61852</x:v>
      </x:c>
      <x:c r="G14" s="15" t="n">
        <x:v>252412.545207</x:v>
      </x:c>
      <x:c r="H14" s="15" t="n">
        <x:v>165709.073313</x:v>
      </x:c>
      <x:c r="I14" s="15" t="n">
        <x:v>112088.29688</x:v>
      </x:c>
      <x:c r="J14" s="15" t="n">
        <x:v>106632.585786</x:v>
      </x:c>
      <x:c r="K14" s="15" t="n">
        <x:v>5455.711094</x:v>
      </x:c>
      <x:c r="L14" s="22" t="n">
        <x:v>0.06322229775662815</x:v>
      </x:c>
      <x:c r="M14" s="15" t="n">
        <x:v>2686321.25</x:v>
      </x:c>
      <x:c r="N14" s="15" t="n">
        <x:v>7853073.71273</x:v>
      </x:c>
      <x:c r="O14" s="17" t="n">
        <x:v>90822</x:v>
      </x:c>
    </x:row>
    <x:row r="15">
      <x:c r="A15" s="13" t="str">
        <x:v>control_2025-10-11_0200</x:v>
      </x:c>
      <x:c r="B15" s="13" t="str">
        <x:v>2025-10-11 02:00:00 UTC</x:v>
      </x:c>
      <x:c r="C15" s="15" t="n">
        <x:v>5068443.306747</x:v>
      </x:c>
      <x:c r="D15" s="15" t="n">
        <x:v>2304189.126583</x:v>
      </x:c>
      <x:c r="E15" s="15" t="n">
        <x:v>1127402.729319</x:v>
      </x:c>
      <x:c r="F15" s="15" t="n">
        <x:v>549797.630004</x:v>
      </x:c>
      <x:c r="G15" s="15" t="n">
        <x:v>519051.49851</x:v>
      </x:c>
      <x:c r="H15" s="15" t="n">
        <x:v>30746.131494</x:v>
      </x:c>
      <x:c r="I15" s="15" t="n">
        <x:v>228657.994837</x:v>
      </x:c>
      <x:c r="J15" s="15" t="n">
        <x:v>68549.794123</x:v>
      </x:c>
      <x:c r="K15" s="15" t="n">
        <x:v>160108.200714</x:v>
      </x:c>
      <x:c r="L15" s="22" t="n">
        <x:v>0.06919104991394148</x:v>
      </x:c>
      <x:c r="M15" s="15" t="n">
        <x:v>1184982.37</x:v>
      </x:c>
      <x:c r="N15" s="15" t="n">
        <x:v>3601967.14681</x:v>
      </x:c>
      <x:c r="O15" s="17" t="n">
        <x:v>33285</x:v>
      </x:c>
    </x:row>
    <x:row r="16">
      <x:c r="A16" s="13" t="str">
        <x:v>control_2025-10-11_0400</x:v>
      </x:c>
      <x:c r="B16" s="13" t="str">
        <x:v>2025-10-11 04:00:00 UTC</x:v>
      </x:c>
      <x:c r="C16" s="15" t="n">
        <x:v>1827951.433361</x:v>
      </x:c>
      <x:c r="D16" s="15" t="n">
        <x:v>705836.554756</x:v>
      </x:c>
      <x:c r="E16" s="15" t="n">
        <x:v>377878.933039</x:v>
      </x:c>
      <x:c r="F16" s="15" t="n">
        <x:v>120699.534105</x:v>
      </x:c>
      <x:c r="G16" s="15" t="n">
        <x:v>134547.121573</x:v>
      </x:c>
      <x:c r="H16" s="15" t="n">
        <x:v>-13847.587468</x:v>
      </x:c>
      <x:c r="I16" s="15" t="n">
        <x:v>192860.572805</x:v>
      </x:c>
      <x:c r="J16" s="15" t="n">
        <x:v>121608.992469</x:v>
      </x:c>
      <x:c r="K16" s="15" t="n">
        <x:v>71251.580336</x:v>
      </x:c>
      <x:c r="L16" s="22" t="n">
        <x:v>0.04461942257217848</x:v>
      </x:c>
      <x:c r="M16" s="15" t="n">
        <x:v>578691.73</x:v>
      </x:c>
      <x:c r="N16" s="15" t="n">
        <x:v>1806391.45731</x:v>
      </x:c>
      <x:c r="O16" s="17" t="n">
        <x:v>20521</x:v>
      </x:c>
    </x:row>
    <x:row r="17">
      <x:c r="A17" s="13" t="str">
        <x:v>control_2025-10-11_0600</x:v>
      </x:c>
      <x:c r="B17" s="13" t="str">
        <x:v>2025-10-11 06:00:00 UTC</x:v>
      </x:c>
      <x:c r="C17" s="15" t="n">
        <x:v>1329432.984805</x:v>
      </x:c>
      <x:c r="D17" s="15" t="n">
        <x:v>753704.715418</x:v>
      </x:c>
      <x:c r="E17" s="15" t="n">
        <x:v>229080.014173</x:v>
      </x:c>
      <x:c r="F17" s="15" t="n">
        <x:v>110214.253706</x:v>
      </x:c>
      <x:c r="G17" s="15" t="n">
        <x:v>119604.601617</x:v>
      </x:c>
      <x:c r="H17" s="15" t="n">
        <x:v>-9390.347911</x:v>
      </x:c>
      <x:c r="I17" s="15" t="n">
        <x:v>57051.872186</x:v>
      </x:c>
      <x:c r="J17" s="15" t="n">
        <x:v>43795.551923</x:v>
      </x:c>
      <x:c r="K17" s="15" t="n">
        <x:v>13256.320263</x:v>
      </x:c>
      <x:c r="L17" s="22" t="n">
        <x:v>0.027182603133994246</x:v>
      </x:c>
      <x:c r="M17" s="15" t="n">
        <x:v>611331.06</x:v>
      </x:c>
      <x:c r="N17" s="15" t="n">
        <x:v>1919908.45051</x:v>
      </x:c>
      <x:c r="O17" s="17" t="n">
        <x:v>19977</x:v>
      </x:c>
    </x:row>
    <x:row r="18">
      <x:c r="A18" s="13" t="str">
        <x:v>control_2025-10-11_0800</x:v>
      </x:c>
      <x:c r="B18" s="13" t="str">
        <x:v>2025-10-11 08:00:00 UTC</x:v>
      </x:c>
      <x:c r="C18" s="15" t="n">
        <x:v>1004047.482744</x:v>
      </x:c>
      <x:c r="D18" s="15" t="n">
        <x:v>529454.546906</x:v>
      </x:c>
      <x:c r="E18" s="15" t="n">
        <x:v>181151.118803</x:v>
      </x:c>
      <x:c r="F18" s="15" t="n">
        <x:v>87386.410414</x:v>
      </x:c>
      <x:c r="G18" s="15" t="n">
        <x:v>99278.612352</x:v>
      </x:c>
      <x:c r="H18" s="15" t="n">
        <x:v>-11892.201938</x:v>
      </x:c>
      <x:c r="I18" s="15" t="n">
        <x:v>91070.528265</x:v>
      </x:c>
      <x:c r="J18" s="15" t="n">
        <x:v>79656.248833</x:v>
      </x:c>
      <x:c r="K18" s="15" t="n">
        <x:v>11414.279432</x:v>
      </x:c>
      <x:c r="L18" s="22" t="n">
        <x:v>0.05340114431023522</x:v>
      </x:c>
      <x:c r="M18" s="15" t="n">
        <x:v>576433.27</x:v>
      </x:c>
      <x:c r="N18" s="15" t="n">
        <x:v>1857684.83091</x:v>
      </x:c>
      <x:c r="O18" s="17" t="n">
        <x:v>21233</x:v>
      </x:c>
    </x:row>
    <x:row r="19">
      <x:c r="A19" s="13" t="str">
        <x:v>control_2025-10-11_1000</x:v>
      </x:c>
      <x:c r="B19" s="13" t="str">
        <x:v>2025-10-11 10:00:00 UTC</x:v>
      </x:c>
      <x:c r="C19" s="15" t="n">
        <x:v>2248499.742517</x:v>
      </x:c>
      <x:c r="D19" s="15" t="n">
        <x:v>1117401.945078</x:v>
      </x:c>
      <x:c r="E19" s="15" t="n">
        <x:v>266284.378436</x:v>
      </x:c>
      <x:c r="F19" s="15" t="n">
        <x:v>285175.165114</x:v>
      </x:c>
      <x:c r="G19" s="15" t="n">
        <x:v>255740.765406</x:v>
      </x:c>
      <x:c r="H19" s="15" t="n">
        <x:v>29434.399708</x:v>
      </x:c>
      <x:c r="I19" s="15" t="n">
        <x:v>35127.74773</x:v>
      </x:c>
      <x:c r="J19" s="15" t="n">
        <x:v>48174.769291</x:v>
      </x:c>
      <x:c r="K19" s="15" t="n">
        <x:v>-13047.021561</x:v>
      </x:c>
      <x:c r="L19" s="22" t="n">
        <x:v>0.027829313543599257</x:v>
      </x:c>
      <x:c r="M19" s="15" t="n">
        <x:v>481249.81</x:v>
      </x:c>
      <x:c r="N19" s="15" t="n">
        <x:v>1559629.88293</x:v>
      </x:c>
      <x:c r="O19" s="17" t="n">
        <x:v>9709</x:v>
      </x:c>
    </x:row>
    <x:row r="20">
      <x:c r="A20" s="13" t="str">
        <x:v>control_2025-10-11_1200</x:v>
      </x:c>
      <x:c r="B20" s="13" t="str">
        <x:v>2025-10-11 12:00:00 UTC</x:v>
      </x:c>
      <x:c r="C20" s="15" t="n">
        <x:v>2817776.75972</x:v>
      </x:c>
      <x:c r="D20" s="15" t="n">
        <x:v>1667026.170227</x:v>
      </x:c>
      <x:c r="E20" s="15" t="n">
        <x:v>574915.387351</x:v>
      </x:c>
      <x:c r="F20" s="15" t="n">
        <x:v>267846.861631</x:v>
      </x:c>
      <x:c r="G20" s="15" t="n">
        <x:v>270344.249357</x:v>
      </x:c>
      <x:c r="H20" s="15" t="n">
        <x:v>-2497.387726</x:v>
      </x:c>
      <x:c r="I20" s="15" t="n">
        <x:v>141259.23953</x:v>
      </x:c>
      <x:c r="J20" s="15" t="n">
        <x:v>30944.389326</x:v>
      </x:c>
      <x:c r="K20" s="15" t="n">
        <x:v>110314.850204</x:v>
      </x:c>
      <x:c r="L20" s="22" t="n">
        <x:v>0.036284016265248666</x:v>
      </x:c>
      <x:c r="M20" s="15" t="n">
        <x:v>632963.85</x:v>
      </x:c>
      <x:c r="N20" s="15" t="n">
        <x:v>1983933.94724</x:v>
      </x:c>
      <x:c r="O20" s="17" t="n">
        <x:v>26182</x:v>
      </x:c>
    </x:row>
    <x:row r="21">
      <x:c r="A21" s="13" t="str">
        <x:v>control_2025-10-11_1400</x:v>
      </x:c>
      <x:c r="B21" s="13" t="str">
        <x:v>2025-10-11 14:00:00 UTC</x:v>
      </x:c>
      <x:c r="C21" s="15" t="n">
        <x:v>1304491.324813</x:v>
      </x:c>
      <x:c r="D21" s="15" t="n">
        <x:v>500526.616379</x:v>
      </x:c>
      <x:c r="E21" s="15" t="n">
        <x:v>120796.965054</x:v>
      </x:c>
      <x:c r="F21" s="15" t="n">
        <x:v>62760.546898</x:v>
      </x:c>
      <x:c r="G21" s="15" t="n">
        <x:v>64978.750696</x:v>
      </x:c>
      <x:c r="H21" s="15" t="n">
        <x:v>-2218.203798</x:v>
      </x:c>
      <x:c r="I21" s="15" t="n">
        <x:v>18215.51785</x:v>
      </x:c>
      <x:c r="J21" s="15" t="n">
        <x:v>21400.795856</x:v>
      </x:c>
      <x:c r="K21" s="15" t="n">
        <x:v>-3185.278006</x:v>
      </x:c>
      <x:c r="L21" s="22" t="n">
        <x:v>0.032896838070903864</x:v>
      </x:c>
      <x:c r="M21" s="15" t="n">
        <x:v>434139.46</x:v>
      </x:c>
      <x:c r="N21" s="15" t="n">
        <x:v>1370110.24377</x:v>
      </x:c>
      <x:c r="O21" s="17" t="n">
        <x:v>13313</x:v>
      </x:c>
    </x:row>
    <x:row r="22">
      <x:c r="A22" s="13" t="str">
        <x:v>control_2025-10-11_1600</x:v>
      </x:c>
      <x:c r="B22" s="13" t="str">
        <x:v>2025-10-11 16:00:00 UTC</x:v>
      </x:c>
      <x:c r="C22" s="15" t="n">
        <x:v>1060304.554888</x:v>
      </x:c>
      <x:c r="D22" s="15" t="n">
        <x:v>514736.701201</x:v>
      </x:c>
      <x:c r="E22" s="15" t="n">
        <x:v>346369.961029</x:v>
      </x:c>
      <x:c r="F22" s="15" t="n">
        <x:v>112664.703888</x:v>
      </x:c>
      <x:c r="G22" s="15" t="n">
        <x:v>114572.4244</x:v>
      </x:c>
      <x:c r="H22" s="15" t="n">
        <x:v>-1907.720512</x:v>
      </x:c>
      <x:c r="I22" s="15" t="n">
        <x:v>121453.586925</x:v>
      </x:c>
      <x:c r="J22" s="15" t="n">
        <x:v>110433.131366</x:v>
      </x:c>
      <x:c r="K22" s="15" t="n">
        <x:v>11020.455559</x:v>
      </x:c>
      <x:c r="L22" s="22" t="n">
        <x:v>0.021589486858573217</x:v>
      </x:c>
      <x:c r="M22" s="15" t="n">
        <x:v>341318.02</x:v>
      </x:c>
      <x:c r="N22" s="15" t="n">
        <x:v>1100563.39435</x:v>
      </x:c>
      <x:c r="O22" s="17" t="n">
        <x:v>9043</x:v>
      </x:c>
    </x:row>
    <x:row r="23">
      <x:c r="A23" s="13" t="str">
        <x:v>control_2025-10-11_1800</x:v>
      </x:c>
      <x:c r="B23" s="13" t="str">
        <x:v>2025-10-11 18:00:00 UTC</x:v>
      </x:c>
      <x:c r="C23" s="15" t="n">
        <x:v>509512.604821</x:v>
      </x:c>
      <x:c r="D23" s="15" t="n">
        <x:v>295191.121055</x:v>
      </x:c>
      <x:c r="E23" s="15" t="n">
        <x:v>61558.302536</x:v>
      </x:c>
      <x:c r="F23" s="15" t="n">
        <x:v>41504.215995</x:v>
      </x:c>
      <x:c r="G23" s="15" t="n">
        <x:v>51121.670382</x:v>
      </x:c>
      <x:c r="H23" s="15" t="n">
        <x:v>-9617.454387</x:v>
      </x:c>
      <x:c r="I23" s="15" t="n">
        <x:v>28643.608272</x:v>
      </x:c>
      <x:c r="J23" s="15" t="n">
        <x:v>47774.760331</x:v>
      </x:c>
      <x:c r="K23" s="15" t="n">
        <x:v>-19131.152059</x:v>
      </x:c>
      <x:c r="L23" s="22" t="n">
        <x:v>0.035482875655661834</x:v>
      </x:c>
      <x:c r="M23" s="15" t="n">
        <x:v>420317.93</x:v>
      </x:c>
      <x:c r="N23" s="15" t="n">
        <x:v>1340213.58392</x:v>
      </x:c>
      <x:c r="O23" s="17" t="n">
        <x:v>8241</x:v>
      </x:c>
    </x:row>
    <x:row r="24">
      <x:c r="A24" s="13" t="str">
        <x:v>control_2025-10-11_2000</x:v>
      </x:c>
      <x:c r="B24" s="13" t="str">
        <x:v>2025-10-11 20:00:00 UTC</x:v>
      </x:c>
      <x:c r="C24" s="15" t="n">
        <x:v>944857.667941</x:v>
      </x:c>
      <x:c r="D24" s="15" t="n">
        <x:v>457329.582406</x:v>
      </x:c>
      <x:c r="E24" s="15" t="n">
        <x:v>212194.204562</x:v>
      </x:c>
      <x:c r="F24" s="15" t="n">
        <x:v>101495.82726</x:v>
      </x:c>
      <x:c r="G24" s="15" t="n">
        <x:v>104839.895867</x:v>
      </x:c>
      <x:c r="H24" s="15" t="n">
        <x:v>-3344.068607</x:v>
      </x:c>
      <x:c r="I24" s="15" t="n">
        <x:v>56966.630558</x:v>
      </x:c>
      <x:c r="J24" s="15" t="n">
        <x:v>28336.420707</x:v>
      </x:c>
      <x:c r="K24" s="15" t="n">
        <x:v>28630.209851</x:v>
      </x:c>
      <x:c r="L24" s="22" t="n">
        <x:v>0.03589580686149937</x:v>
      </x:c>
      <x:c r="M24" s="15" t="n">
        <x:v>540501.05</x:v>
      </x:c>
      <x:c r="N24" s="15" t="n">
        <x:v>1674480.06182</x:v>
      </x:c>
      <x:c r="O24" s="17" t="n">
        <x:v>11910</x:v>
      </x:c>
    </x:row>
    <x:row r="25">
      <x:c r="A25" s="13" t="str">
        <x:v>control_2025-10-11_2200</x:v>
      </x:c>
      <x:c r="B25" s="13" t="str">
        <x:v>2025-10-11 22:00:00 UTC</x:v>
      </x:c>
      <x:c r="C25" s="15" t="n">
        <x:v>399731.259063</x:v>
      </x:c>
      <x:c r="D25" s="15" t="n">
        <x:v>231985.730833</x:v>
      </x:c>
      <x:c r="E25" s="15" t="n">
        <x:v>36143.355056</x:v>
      </x:c>
      <x:c r="F25" s="15" t="n">
        <x:v>34349.566381</x:v>
      </x:c>
      <x:c r="G25" s="15" t="n">
        <x:v>30331.448755</x:v>
      </x:c>
      <x:c r="H25" s="15" t="n">
        <x:v>4018.117626</x:v>
      </x:c>
      <x:c r="I25" s="15" t="n">
        <x:v>23489.546135</x:v>
      </x:c>
      <x:c r="J25" s="15" t="n">
        <x:v>11646.899138</x:v>
      </x:c>
      <x:c r="K25" s="15" t="n">
        <x:v>11842.646997</x:v>
      </x:c>
      <x:c r="L25" s="22" t="n">
        <x:v>0.014035087719298244</x:v>
      </x:c>
      <x:c r="M25" s="15" t="n">
        <x:v>197073.46</x:v>
      </x:c>
      <x:c r="N25" s="15" t="n">
        <x:v>620992.88419</x:v>
      </x:c>
      <x:c r="O25" s="17" t="n">
        <x:v>5616</x:v>
      </x:c>
    </x:row>
    <x:row r="26">
      <x:c r="A26" s="13" t="str">
        <x:v>control_2025-10-12_0000</x:v>
      </x:c>
      <x:c r="B26" s="13" t="str">
        <x:v>2025-10-12 00:00:00 UTC</x:v>
      </x:c>
      <x:c r="C26" s="15" t="n">
        <x:v>1322305.541096</x:v>
      </x:c>
      <x:c r="D26" s="15" t="n">
        <x:v>743480.815248</x:v>
      </x:c>
      <x:c r="E26" s="15" t="n">
        <x:v>270117.555738</x:v>
      </x:c>
      <x:c r="F26" s="15" t="n">
        <x:v>202937.885409</x:v>
      </x:c>
      <x:c r="G26" s="15" t="n">
        <x:v>203284.923159</x:v>
      </x:c>
      <x:c r="H26" s="15" t="n">
        <x:v>-347.03775</x:v>
      </x:c>
      <x:c r="I26" s="15" t="n">
        <x:v>24326.322525</x:v>
      </x:c>
      <x:c r="J26" s="15" t="n">
        <x:v>18498.612218</x:v>
      </x:c>
      <x:c r="K26" s="15" t="n">
        <x:v>5827.710307</x:v>
      </x:c>
      <x:c r="L26" s="22" t="n">
        <x:v>0.03150859325270528</x:v>
      </x:c>
      <x:c r="M26" s="15" t="n">
        <x:v>366604.95</x:v>
      </x:c>
      <x:c r="N26" s="15" t="n">
        <x:v>1128834.4321</x:v>
      </x:c>
      <x:c r="O26" s="17" t="n">
        <x:v>11193</x:v>
      </x:c>
    </x:row>
    <x:row r="27">
      <x:c r="A27" s="13" t="str">
        <x:v>control_2025-10-12_0200</x:v>
      </x:c>
      <x:c r="B27" s="13" t="str">
        <x:v>2025-10-12 02:00:00 UTC</x:v>
      </x:c>
      <x:c r="C27" s="15" t="n">
        <x:v>1208036.20636</x:v>
      </x:c>
      <x:c r="D27" s="15" t="n">
        <x:v>654819.939173</x:v>
      </x:c>
      <x:c r="E27" s="15" t="n">
        <x:v>292977.127674</x:v>
      </x:c>
      <x:c r="F27" s="15" t="n">
        <x:v>198995.147516</x:v>
      </x:c>
      <x:c r="G27" s="15" t="n">
        <x:v>201898.116029</x:v>
      </x:c>
      <x:c r="H27" s="15" t="n">
        <x:v>-2902.968513</x:v>
      </x:c>
      <x:c r="I27" s="15" t="n">
        <x:v>30179.629357</x:v>
      </x:c>
      <x:c r="J27" s="15" t="n">
        <x:v>19519.603307</x:v>
      </x:c>
      <x:c r="K27" s="15" t="n">
        <x:v>10660.02605</x:v>
      </x:c>
      <x:c r="L27" s="22" t="n">
        <x:v>0.0354446997046275</x:v>
      </x:c>
      <x:c r="M27" s="15" t="n">
        <x:v>346250.72</x:v>
      </x:c>
      <x:c r="N27" s="15" t="n">
        <x:v>1065288.86855</x:v>
      </x:c>
      <x:c r="O27" s="17" t="n">
        <x:v>9873</x:v>
      </x:c>
    </x:row>
    <x:row r="28">
      <x:c r="A28" s="13" t="str">
        <x:v>control_2025-10-12_0400</x:v>
      </x:c>
      <x:c r="B28" s="13" t="str">
        <x:v>2025-10-12 04:00:00 UTC</x:v>
      </x:c>
      <x:c r="C28" s="15" t="n">
        <x:v>289690.201706</x:v>
      </x:c>
      <x:c r="D28" s="15" t="n">
        <x:v>167182.804491</x:v>
      </x:c>
      <x:c r="E28" s="15" t="n">
        <x:v>51751.448604</x:v>
      </x:c>
      <x:c r="F28" s="15" t="n">
        <x:v>38638.095998</x:v>
      </x:c>
      <x:c r="G28" s="15" t="n">
        <x:v>26946.818252</x:v>
      </x:c>
      <x:c r="H28" s="15" t="n">
        <x:v>11691.277746</x:v>
      </x:c>
      <x:c r="I28" s="15" t="n">
        <x:v>38444.324495</x:v>
      </x:c>
      <x:c r="J28" s="15" t="n">
        <x:v>23905.963799</x:v>
      </x:c>
      <x:c r="K28" s="15" t="n">
        <x:v>14538.360696</x:v>
      </x:c>
      <x:c r="L28" s="22" t="n">
        <x:v>0.024335574767851424</x:v>
      </x:c>
      <x:c r="M28" s="15" t="n">
        <x:v>153339.71</x:v>
      </x:c>
      <x:c r="N28" s="15" t="n">
        <x:v>486263.18017</x:v>
      </x:c>
      <x:c r="O28" s="17" t="n">
        <x:v>5118</x:v>
      </x:c>
    </x:row>
    <x:row r="29">
      <x:c r="A29" s="13" t="str">
        <x:v>control_2025-10-12_0600</x:v>
      </x:c>
      <x:c r="B29" s="13" t="str">
        <x:v>2025-10-12 06:00:00 UTC</x:v>
      </x:c>
      <x:c r="C29" s="15" t="n">
        <x:v>596508.568215</x:v>
      </x:c>
      <x:c r="D29" s="15" t="n">
        <x:v>366620.866421</x:v>
      </x:c>
      <x:c r="E29" s="15" t="n">
        <x:v>112665.304968</x:v>
      </x:c>
      <x:c r="F29" s="15" t="n">
        <x:v>85383.910469</x:v>
      </x:c>
      <x:c r="G29" s="15" t="n">
        <x:v>92936.805051</x:v>
      </x:c>
      <x:c r="H29" s="15" t="n">
        <x:v>-7552.894582</x:v>
      </x:c>
      <x:c r="I29" s="15" t="n">
        <x:v>46105.458103</x:v>
      </x:c>
      <x:c r="J29" s="15" t="n">
        <x:v>57844.290181</x:v>
      </x:c>
      <x:c r="K29" s="15" t="n">
        <x:v>-11738.832078</x:v>
      </x:c>
      <x:c r="L29" s="22" t="n">
        <x:v>0.031073446327683617</x:v>
      </x:c>
      <x:c r="M29" s="15" t="n">
        <x:v>243400.21</x:v>
      </x:c>
      <x:c r="N29" s="15" t="n">
        <x:v>786526.58216</x:v>
      </x:c>
      <x:c r="O29" s="17" t="n">
        <x:v>5349</x:v>
      </x:c>
    </x:row>
    <x:row r="30">
      <x:c r="A30" s="13" t="str">
        <x:v>control_2025-10-12_0800</x:v>
      </x:c>
      <x:c r="B30" s="13" t="str">
        <x:v>2025-10-12 08:00:00 UTC</x:v>
      </x:c>
      <x:c r="C30" s="15" t="n">
        <x:v>1489032.830549</x:v>
      </x:c>
      <x:c r="D30" s="15" t="n">
        <x:v>549848.293014</x:v>
      </x:c>
      <x:c r="E30" s="15" t="n">
        <x:v>319964.357527</x:v>
      </x:c>
      <x:c r="F30" s="15" t="n">
        <x:v>87017.106996</x:v>
      </x:c>
      <x:c r="G30" s="15" t="n">
        <x:v>87187.177617</x:v>
      </x:c>
      <x:c r="H30" s="15" t="n">
        <x:v>-170.070621</x:v>
      </x:c>
      <x:c r="I30" s="15" t="n">
        <x:v>69478.673685</x:v>
      </x:c>
      <x:c r="J30" s="15" t="n">
        <x:v>29023.720558</x:v>
      </x:c>
      <x:c r="K30" s="15" t="n">
        <x:v>40454.953127</x:v>
      </x:c>
      <x:c r="L30" s="22" t="n">
        <x:v>0.029681762545899635</x:v>
      </x:c>
      <x:c r="M30" s="15" t="n">
        <x:v>438270.91</x:v>
      </x:c>
      <x:c r="N30" s="15" t="n">
        <x:v>1447847.36229</x:v>
      </x:c>
      <x:c r="O30" s="17" t="n">
        <x:v>13151</x:v>
      </x:c>
    </x:row>
    <x:row r="31">
      <x:c r="A31" s="13" t="str">
        <x:v>control_2025-10-12_1000</x:v>
      </x:c>
      <x:c r="B31" s="13" t="str">
        <x:v>2025-10-12 10:00:00 UTC</x:v>
      </x:c>
      <x:c r="C31" s="15" t="n">
        <x:v>1352354.484176</x:v>
      </x:c>
      <x:c r="D31" s="15" t="n">
        <x:v>670024.558609</x:v>
      </x:c>
      <x:c r="E31" s="15" t="n">
        <x:v>124671.957892</x:v>
      </x:c>
      <x:c r="F31" s="15" t="n">
        <x:v>94716.346819</x:v>
      </x:c>
      <x:c r="G31" s="15" t="n">
        <x:v>97846.42903</x:v>
      </x:c>
      <x:c r="H31" s="15" t="n">
        <x:v>-3130.082211</x:v>
      </x:c>
      <x:c r="I31" s="15" t="n">
        <x:v>29607.605333</x:v>
      </x:c>
      <x:c r="J31" s="15" t="n">
        <x:v>37666.327978</x:v>
      </x:c>
      <x:c r="K31" s="15" t="n">
        <x:v>-8058.722645</x:v>
      </x:c>
      <x:c r="L31" s="22" t="n">
        <x:v>0.022747952684258416</x:v>
      </x:c>
      <x:c r="M31" s="15" t="n">
        <x:v>355664.98</x:v>
      </x:c>
      <x:c r="N31" s="15" t="n">
        <x:v>1156443.82997</x:v>
      </x:c>
      <x:c r="O31" s="17" t="n">
        <x:v>8810</x:v>
      </x:c>
    </x:row>
    <x:row r="32">
      <x:c r="A32" s="13" t="str">
        <x:v>control_2025-10-12_1200</x:v>
      </x:c>
      <x:c r="B32" s="13" t="str">
        <x:v>2025-10-12 12:00:00 UTC</x:v>
      </x:c>
      <x:c r="C32" s="15" t="n">
        <x:v>787686.96582</x:v>
      </x:c>
      <x:c r="D32" s="15" t="n">
        <x:v>392409.445329</x:v>
      </x:c>
      <x:c r="E32" s="15" t="n">
        <x:v>276095.05633</x:v>
      </x:c>
      <x:c r="F32" s="15" t="n">
        <x:v>41778.886204</x:v>
      </x:c>
      <x:c r="G32" s="15" t="n">
        <x:v>41915.173351</x:v>
      </x:c>
      <x:c r="H32" s="15" t="n">
        <x:v>-136.287147</x:v>
      </x:c>
      <x:c r="I32" s="15" t="n">
        <x:v>18999.446575</x:v>
      </x:c>
      <x:c r="J32" s="15" t="n">
        <x:v>16986.735599</x:v>
      </x:c>
      <x:c r="K32" s="15" t="n">
        <x:v>2012.710976</x:v>
      </x:c>
      <x:c r="L32" s="22" t="n">
        <x:v>0.014123426466073072</x:v>
      </x:c>
      <x:c r="M32" s="15" t="n">
        <x:v>285018.25</x:v>
      </x:c>
      <x:c r="N32" s="15" t="n">
        <x:v>930282.01921</x:v>
      </x:c>
      <x:c r="O32" s="17" t="n">
        <x:v>5546</x:v>
      </x:c>
    </x:row>
    <x:row r="33">
      <x:c r="A33" s="13" t="str">
        <x:v>control_2025-10-12_1400</x:v>
      </x:c>
      <x:c r="B33" s="13" t="str">
        <x:v>2025-10-12 14:00:00 UTC</x:v>
      </x:c>
      <x:c r="C33" s="15" t="n">
        <x:v>827640.57941</x:v>
      </x:c>
      <x:c r="D33" s="15" t="n">
        <x:v>315702.517985</x:v>
      </x:c>
      <x:c r="E33" s="15" t="n">
        <x:v>143844.805717</x:v>
      </x:c>
      <x:c r="F33" s="15" t="n">
        <x:v>113512.701161</x:v>
      </x:c>
      <x:c r="G33" s="15" t="n">
        <x:v>114093.011969</x:v>
      </x:c>
      <x:c r="H33" s="15" t="n">
        <x:v>-580.310808</x:v>
      </x:c>
      <x:c r="I33" s="15" t="n">
        <x:v>73205.420884</x:v>
      </x:c>
      <x:c r="J33" s="15" t="n">
        <x:v>35461.841177</x:v>
      </x:c>
      <x:c r="K33" s="15" t="n">
        <x:v>37743.579707</x:v>
      </x:c>
      <x:c r="L33" s="22" t="n">
        <x:v>0.059871046975744545</x:v>
      </x:c>
      <x:c r="M33" s="15" t="n">
        <x:v>612036.93</x:v>
      </x:c>
      <x:c r="N33" s="15" t="n">
        <x:v>2059188.68122</x:v>
      </x:c>
      <x:c r="O33" s="17" t="n">
        <x:v>27170</x:v>
      </x:c>
    </x:row>
    <x:row r="34">
      <x:c r="A34" s="13" t="str">
        <x:v>control_2025-10-12_1600</x:v>
      </x:c>
      <x:c r="B34" s="13" t="str">
        <x:v>2025-10-12 16:00:00 UTC</x:v>
      </x:c>
      <x:c r="C34" s="15" t="n">
        <x:v>946153.249218</x:v>
      </x:c>
      <x:c r="D34" s="15" t="n">
        <x:v>356775.333652</x:v>
      </x:c>
      <x:c r="E34" s="15" t="n">
        <x:v>294844.648143</x:v>
      </x:c>
      <x:c r="F34" s="15" t="n">
        <x:v>50368.054301</x:v>
      </x:c>
      <x:c r="G34" s="15" t="n">
        <x:v>50000.844132</x:v>
      </x:c>
      <x:c r="H34" s="15" t="n">
        <x:v>367.210169</x:v>
      </x:c>
      <x:c r="I34" s="15" t="n">
        <x:v>32029.484777</x:v>
      </x:c>
      <x:c r="J34" s="15" t="n">
        <x:v>29902.267286</x:v>
      </x:c>
      <x:c r="K34" s="15" t="n">
        <x:v>2127.217491</x:v>
      </x:c>
      <x:c r="L34" s="22" t="n">
        <x:v>0.023809523809523808</x:v>
      </x:c>
      <x:c r="M34" s="15" t="n">
        <x:v>390268.34</x:v>
      </x:c>
      <x:c r="N34" s="15" t="n">
        <x:v>1359115.34308</x:v>
      </x:c>
      <x:c r="O34" s="17" t="n">
        <x:v>11797</x:v>
      </x:c>
    </x:row>
    <x:row r="35">
      <x:c r="A35" s="13" t="str">
        <x:v>control_2025-10-12_1800</x:v>
      </x:c>
      <x:c r="B35" s="13" t="str">
        <x:v>2025-10-12 18:00:00 UTC</x:v>
      </x:c>
      <x:c r="C35" s="15" t="n">
        <x:v>248608.571161</x:v>
      </x:c>
      <x:c r="D35" s="15" t="n">
        <x:v>123351.436439</x:v>
      </x:c>
      <x:c r="E35" s="15" t="n">
        <x:v>34197.307343</x:v>
      </x:c>
      <x:c r="F35" s="15" t="n">
        <x:v>28683.570314</x:v>
      </x:c>
      <x:c r="G35" s="15" t="n">
        <x:v>26136.566293</x:v>
      </x:c>
      <x:c r="H35" s="15" t="n">
        <x:v>2547.004021</x:v>
      </x:c>
      <x:c r="I35" s="15" t="n">
        <x:v>20436.047127</x:v>
      </x:c>
      <x:c r="J35" s="15" t="n">
        <x:v>13188.590247</x:v>
      </x:c>
      <x:c r="K35" s="15" t="n">
        <x:v>7247.45688</x:v>
      </x:c>
      <x:c r="L35" s="22" t="n">
        <x:v>0.019121004566210045</x:v>
      </x:c>
      <x:c r="M35" s="15" t="n">
        <x:v>218260.36</x:v>
      </x:c>
      <x:c r="N35" s="15" t="n">
        <x:v>763943.95583</x:v>
      </x:c>
      <x:c r="O35" s="17" t="n">
        <x:v>4512</x:v>
      </x:c>
    </x:row>
    <x:row r="36">
      <x:c r="A36" s="13" t="str">
        <x:v>control_2025-10-12_2000</x:v>
      </x:c>
      <x:c r="B36" s="13" t="str">
        <x:v>2025-10-12 20:00:00 UTC</x:v>
      </x:c>
      <x:c r="C36" s="15" t="n">
        <x:v>538901.212645</x:v>
      </x:c>
      <x:c r="D36" s="15" t="n">
        <x:v>293442.110039</x:v>
      </x:c>
      <x:c r="E36" s="15" t="n">
        <x:v>150556.067205</x:v>
      </x:c>
      <x:c r="F36" s="15" t="n">
        <x:v>32062.882949</x:v>
      </x:c>
      <x:c r="G36" s="15" t="n">
        <x:v>33034.627787</x:v>
      </x:c>
      <x:c r="H36" s="15" t="n">
        <x:v>-971.744838</x:v>
      </x:c>
      <x:c r="I36" s="15" t="n">
        <x:v>27851.814335</x:v>
      </x:c>
      <x:c r="J36" s="15" t="n">
        <x:v>36851.489327</x:v>
      </x:c>
      <x:c r="K36" s="15" t="n">
        <x:v>-8999.674992</x:v>
      </x:c>
      <x:c r="L36" s="22" t="n">
        <x:v>0.028069180606747946</x:v>
      </x:c>
      <x:c r="M36" s="15" t="n">
        <x:v>234649.21</x:v>
      </x:c>
      <x:c r="N36" s="15" t="n">
        <x:v>823296.37989</x:v>
      </x:c>
      <x:c r="O36" s="17" t="n">
        <x:v>5407</x:v>
      </x:c>
    </x:row>
    <x:row r="37">
      <x:c r="A37" s="13" t="str">
        <x:v>control_2025-10-12_2200</x:v>
      </x:c>
      <x:c r="B37" s="13" t="str">
        <x:v>2025-10-12 22:00:00 UTC</x:v>
      </x:c>
      <x:c r="C37" s="15" t="n">
        <x:v>783138.364813</x:v>
      </x:c>
      <x:c r="D37" s="15" t="n">
        <x:v>338519.104682</x:v>
      </x:c>
      <x:c r="E37" s="15" t="n">
        <x:v>257175.772652</x:v>
      </x:c>
      <x:c r="F37" s="15" t="n">
        <x:v>265603.706311</x:v>
      </x:c>
      <x:c r="G37" s="15" t="n">
        <x:v>261804.1132</x:v>
      </x:c>
      <x:c r="H37" s="15" t="n">
        <x:v>3799.593111</x:v>
      </x:c>
      <x:c r="I37" s="15" t="n">
        <x:v>43617.354157</x:v>
      </x:c>
      <x:c r="J37" s="15" t="n">
        <x:v>10039.337493</x:v>
      </x:c>
      <x:c r="K37" s="15" t="n">
        <x:v>33578.016664</x:v>
      </x:c>
      <x:c r="L37" s="22" t="n">
        <x:v>0.012345679012345678</x:v>
      </x:c>
      <x:c r="M37" s="15" t="n">
        <x:v>212743.52</x:v>
      </x:c>
      <x:c r="N37" s="15" t="n">
        <x:v>739903.68668</x:v>
      </x:c>
      <x:c r="O37" s="17" t="n">
        <x:v>5489</x:v>
      </x:c>
    </x:row>
  </x:sheetData>
  <x:conditionalFormatting sqref="H2:H37">
    <x:cfRule type="cellIs" dxfId="7" priority="1" operator="lessThan">
      <x:formula>0</x:formula>
    </x:cfRule>
  </x:conditionalFormatting>
  <x:conditionalFormatting sqref="K2:K37">
    <x:cfRule type="cellIs" dxfId="8" priority="2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9" t="str">
        <x:v>Period</x:v>
      </x:c>
      <x:c r="B1" s="10" t="str">
        <x:v>Confirmed CEX in (ATOM)</x:v>
      </x:c>
      <x:c r="C1" s="10" t="str">
        <x:v>Confirmed CEX out (ATOM)</x:v>
      </x:c>
      <x:c r="D1" s="10" t="str">
        <x:v>Confirmed net in (ATOM)</x:v>
      </x:c>
      <x:c r="E1" s="10" t="str">
        <x:v>Structured candidate in (ATOM)</x:v>
      </x:c>
      <x:c r="F1" s="10" t="str">
        <x:v>Large-flow watchlist in (ATOM)</x:v>
      </x:c>
      <x:c r="G1" s="10" t="str">
        <x:v>All direct (ATOM)</x:v>
      </x:c>
      <x:c r="H1" s="10" t="str">
        <x:v>IBC inbound (ATOM)</x:v>
      </x:c>
      <x:c r="I1" s="10" t="str">
        <x:v>IBC outbound (ATOM)</x:v>
      </x:c>
      <x:c r="J1" s="11" t="str">
        <x:v>IBC net inbound (ATOM)</x:v>
      </x:c>
    </x:row>
    <x:row r="2">
      <x:c r="A2" s="12" t="str">
        <x:v>-60m_to_-30m</x:v>
      </x:c>
      <x:c r="B2" s="14" t="n">
        <x:v>1460.65936</x:v>
      </x:c>
      <x:c r="C2" s="14" t="n">
        <x:v>922.239293</x:v>
      </x:c>
      <x:c r="D2" s="14" t="n">
        <x:f>B2-C2</x:f>
        <x:v>538.4200670000001</x:v>
      </x:c>
      <x:c r="E2" s="14" t="n">
        <x:v>21115.737862</x:v>
      </x:c>
      <x:c r="F2" s="14" t="n">
        <x:v>18458.650682</x:v>
      </x:c>
      <x:c r="G2" s="14" t="n">
        <x:v>53334.561542</x:v>
      </x:c>
      <x:c r="H2" s="14" t="n">
        <x:v>4700.917039</x:v>
      </x:c>
      <x:c r="I2" s="14" t="n">
        <x:v>4606.393948</x:v>
      </x:c>
      <x:c r="J2" s="14" t="n">
        <x:f>H2-I2</x:f>
        <x:v>94.52309100000002</x:v>
      </x:c>
    </x:row>
    <x:row r="3">
      <x:c r="A3" s="13" t="str">
        <x:v>-30m_to_-10m</x:v>
      </x:c>
      <x:c r="B3" s="15" t="n">
        <x:v>10330.78479</x:v>
      </x:c>
      <x:c r="C3" s="15" t="n">
        <x:v>10450.759193</x:v>
      </x:c>
      <x:c r="D3" s="15" t="n">
        <x:f>B3-C3</x:f>
        <x:v>-119.97440300000017</x:v>
      </x:c>
      <x:c r="E3" s="15" t="n">
        <x:v>178136.651836</x:v>
      </x:c>
      <x:c r="F3" s="15" t="n">
        <x:v>184520.781678</x:v>
      </x:c>
      <x:c r="G3" s="15" t="n">
        <x:v>383650.27595</x:v>
      </x:c>
      <x:c r="H3" s="15" t="n">
        <x:v>11004.816794</x:v>
      </x:c>
      <x:c r="I3" s="15" t="n">
        <x:v>43828.993709</x:v>
      </x:c>
      <x:c r="J3" s="15" t="n">
        <x:f>H3-I3</x:f>
        <x:v>-32824.176915000004</x:v>
      </x:c>
    </x:row>
    <x:row r="4">
      <x:c r="A4" s="13" t="str">
        <x:v>-10m_to_0m</x:v>
      </x:c>
      <x:c r="B4" s="15" t="n">
        <x:v>14712.890014</x:v>
      </x:c>
      <x:c r="C4" s="15" t="n">
        <x:v>10924.899496</x:v>
      </x:c>
      <x:c r="D4" s="15" t="n">
        <x:f>B4-C4</x:f>
        <x:v>3787.9905180000005</x:v>
      </x:c>
      <x:c r="E4" s="15" t="n">
        <x:v>125243.33052</x:v>
      </x:c>
      <x:c r="F4" s="15" t="n">
        <x:v>31638.761196</x:v>
      </x:c>
      <x:c r="G4" s="15" t="n">
        <x:v>184307.881142</x:v>
      </x:c>
      <x:c r="H4" s="15" t="n">
        <x:v>6631.711424</x:v>
      </x:c>
      <x:c r="I4" s="15" t="n">
        <x:v>23456.18121</x:v>
      </x:c>
      <x:c r="J4" s="15" t="n">
        <x:f>H4-I4</x:f>
        <x:v>-16824.469785999998</x:v>
      </x:c>
    </x:row>
    <x:row r="5">
      <x:c r="A5" s="13" t="str">
        <x:v>0m_to_+10m</x:v>
      </x:c>
      <x:c r="B5" s="15" t="n">
        <x:v>9871.931714</x:v>
      </x:c>
      <x:c r="C5" s="15" t="n">
        <x:v>11515.799977</x:v>
      </x:c>
      <x:c r="D5" s="15" t="n">
        <x:f>B5-C5</x:f>
        <x:v>-1643.8682630000003</x:v>
      </x:c>
      <x:c r="E5" s="15" t="n">
        <x:v>66546.183375</x:v>
      </x:c>
      <x:c r="F5" s="15" t="n">
        <x:v>39961.756861</x:v>
      </x:c>
      <x:c r="G5" s="15" t="n">
        <x:v>130408.638332</x:v>
      </x:c>
      <x:c r="H5" s="15" t="n">
        <x:v>12547.603785</x:v>
      </x:c>
      <x:c r="I5" s="15" t="n">
        <x:v>14290.0291</x:v>
      </x:c>
      <x:c r="J5" s="15" t="n">
        <x:f>H5-I5</x:f>
        <x:v>-1742.4253150000004</x:v>
      </x:c>
    </x:row>
    <x:row r="6">
      <x:c r="A6" s="13" t="str">
        <x:v>+10m_to_+30m</x:v>
      </x:c>
      <x:c r="B6" s="15" t="n">
        <x:v>29255.713914</x:v>
      </x:c>
      <x:c r="C6" s="15" t="n">
        <x:v>39656.970243</x:v>
      </x:c>
      <x:c r="D6" s="15" t="n">
        <x:f>B6-C6</x:f>
        <x:v>-10401.256329000003</x:v>
      </x:c>
      <x:c r="E6" s="15" t="n">
        <x:v>152193.892201</x:v>
      </x:c>
      <x:c r="F6" s="15" t="n">
        <x:v>128772.416992</x:v>
      </x:c>
      <x:c r="G6" s="15" t="n">
        <x:v>315361.301365</x:v>
      </x:c>
      <x:c r="H6" s="15" t="n">
        <x:v>22146.056436</x:v>
      </x:c>
      <x:c r="I6" s="15" t="n">
        <x:v>204916.103968</x:v>
      </x:c>
      <x:c r="J6" s="15" t="n">
        <x:f>H6-I6</x:f>
        <x:v>-182770.047532</x:v>
      </x:c>
    </x:row>
    <x:row r="7">
      <x:c r="A7" s="13" t="str">
        <x:v>+30m_to_+60m</x:v>
      </x:c>
      <x:c r="B7" s="15" t="n">
        <x:v>53534.902697</x:v>
      </x:c>
      <x:c r="C7" s="15" t="n">
        <x:v>54096.305597</x:v>
      </x:c>
      <x:c r="D7" s="15" t="n">
        <x:f>B7-C7</x:f>
        <x:v>-561.402900000001</x:v>
      </x:c>
      <x:c r="E7" s="15" t="n">
        <x:v>550001.96818</x:v>
      </x:c>
      <x:c r="F7" s="15" t="n">
        <x:v>402481.204798</x:v>
      </x:c>
      <x:c r="G7" s="15" t="n">
        <x:v>1017735.723512</x:v>
      </x:c>
      <x:c r="H7" s="15" t="n">
        <x:v>160859.978534</x:v>
      </x:c>
      <x:c r="I7" s="15" t="n">
        <x:v>116967.726344</x:v>
      </x:c>
      <x:c r="J7" s="15" t="n">
        <x:f>H7-I7</x:f>
        <x:v>43892.25219</x:v>
      </x:c>
    </x:row>
  </x:sheetData>
  <x:conditionalFormatting sqref="D2:D7">
    <x:cfRule type="cellIs" dxfId="0" priority="1" operator="lessThan">
      <x:formula>0</x:formula>
    </x:cfRule>
  </x:conditionalFormatting>
  <x:conditionalFormatting sqref="J2:J7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329999923706055" hidden="0" customWidth="1"/>
    <x:col min="2" max="2" width="9.4399995803833" hidden="0" customWidth="1"/>
    <x:col min="3" max="3" width="42" hidden="0" customWidth="1"/>
    <x:col min="4" max="4" width="12.4399995803833" hidden="0" customWidth="1"/>
    <x:col min="5" max="5" width="13.670000076293945" hidden="0" customWidth="1"/>
    <x:col min="6" max="6" width="14.779999732971191" hidden="0" customWidth="1"/>
    <x:col min="7" max="7" width="13.220000267028809" hidden="0" customWidth="1"/>
    <x:col min="8" max="8" width="13.670000076293945" hidden="0" customWidth="1"/>
    <x:col min="9" max="9" width="14.779999732971191" hidden="0" customWidth="1"/>
    <x:col min="10" max="10" width="17.110000610351562" hidden="0" customWidth="1"/>
    <x:col min="11" max="11" width="65" hidden="0" customWidth="1"/>
  </x:cols>
  <x:sheetData>
    <x:row r="1">
      <x:c r="A1" s="9" t="str">
        <x:v>Exchange label</x:v>
      </x:c>
      <x:c r="B1" s="10" t="str">
        <x:v>Confidence</x:v>
      </x:c>
      <x:c r="C1" s="10" t="str">
        <x:v>Address</x:v>
      </x:c>
      <x:c r="D1" s="10" t="str">
        <x:v>2h inflow count</x:v>
      </x:c>
      <x:c r="E1" s="10" t="str">
        <x:v>2h inflow (ATOM)</x:v>
      </x:c>
      <x:c r="F1" s="10" t="str">
        <x:v>2h outflow (ATOM)</x:v>
      </x:c>
      <x:c r="G1" s="10" t="str">
        <x:v>2h net in (ATOM)</x:v>
      </x:c>
      <x:c r="H1" s="10" t="str">
        <x:v>4d inflow (ATOM)</x:v>
      </x:c>
      <x:c r="I1" s="10" t="str">
        <x:v>4d unique senders</x:v>
      </x:c>
      <x:c r="J1" s="10" t="str">
        <x:v>4d structured memos</x:v>
      </x:c>
      <x:c r="K1" s="11" t="str">
        <x:v>Evidence URL</x:v>
      </x:c>
    </x:row>
    <x:row r="2">
      <x:c r="A2" s="12" t="str">
        <x:v>Binance</x:v>
      </x:c>
      <x:c r="B2" s="12" t="str">
        <x:v>high</x:v>
      </x:c>
      <x:c r="C2" s="12" t="str">
        <x:v>cosmos1j8pp7zvcu9z8vd882m284j29fn2dszh05cqvf9</x:v>
      </x:c>
      <x:c r="D2" s="16" t="n">
        <x:v>121</x:v>
      </x:c>
      <x:c r="E2" s="14" t="n">
        <x:v>97169.746497</x:v>
      </x:c>
      <x:c r="F2" s="14" t="n">
        <x:v>98004.045497</x:v>
      </x:c>
      <x:c r="G2" s="14" t="n">
        <x:f>E2-F2</x:f>
        <x:v>-834.2989999999991</x:v>
      </x:c>
      <x:c r="H2" s="14" t="n">
        <x:v>3649006.003229</x:v>
      </x:c>
      <x:c r="I2" s="16" t="n">
        <x:v>1141</x:v>
      </x:c>
      <x:c r="J2" s="16" t="n">
        <x:v>3134</x:v>
      </x:c>
      <x:c r="K2" s="12" t="str">
        <x:v>https://public.nazk.gov.ua/documents/8afa386d-0561-446b-bc83-de4ddeca736f</x:v>
      </x:c>
    </x:row>
    <x:row r="3">
      <x:c r="A3" s="13" t="str">
        <x:v>KuCoin</x:v>
      </x:c>
      <x:c r="B3" s="13" t="str">
        <x:v>medium</x:v>
      </x:c>
      <x:c r="C3" s="13" t="str">
        <x:v>cosmos1vl8xm7x04cedgh639hc9ucvf6zc754fyfewhef</x:v>
      </x:c>
      <x:c r="D3" s="17" t="n">
        <x:v>10</x:v>
      </x:c>
      <x:c r="E3" s="15" t="n">
        <x:v>72369.536271</x:v>
      </x:c>
      <x:c r="F3" s="15" t="n">
        <x:v>72369.491271</x:v>
      </x:c>
      <x:c r="G3" s="15" t="n">
        <x:f>E3-F3</x:f>
        <x:v>0.04499999999825377</x:v>
      </x:c>
      <x:c r="H3" s="15" t="n">
        <x:v>1210353.654988</x:v>
      </x:c>
      <x:c r="I3" s="17" t="n">
        <x:v>120</x:v>
      </x:c>
      <x:c r="J3" s="17" t="n">
        <x:v>391</x:v>
      </x:c>
      <x:c r="K3" s="13" t="str">
        <x:v>https://public.nazk.gov.ua/documents/53023432-fc72-4bfb-b8a1-b7375d31e1c7</x:v>
      </x:c>
    </x:row>
    <x:row r="4">
      <x:c r="A4" s="13" t="str">
        <x:v>MEXC</x:v>
      </x:c>
      <x:c r="B4" s="13" t="str">
        <x:v>medium</x:v>
      </x:c>
      <x:c r="C4" s="13" t="str">
        <x:v>cosmos144sh8vyv5nqfylmg4mlydnpe3l4w780jsrmf4k</x:v>
      </x:c>
      <x:c r="D4" s="17" t="n">
        <x:v>50</x:v>
      </x:c>
      <x:c r="E4" s="15" t="n">
        <x:v>16870.860988</x:v>
      </x:c>
      <x:c r="F4" s="15" t="n">
        <x:v>23024.796088</x:v>
      </x:c>
      <x:c r="G4" s="15" t="n">
        <x:f>E4-F4</x:f>
        <x:v>-6153.935099999999</x:v>
      </x:c>
      <x:c r="H4" s="15" t="n">
        <x:v>379862.615658</x:v>
      </x:c>
      <x:c r="I4" s="17" t="n">
        <x:v>376</x:v>
      </x:c>
      <x:c r="J4" s="17" t="n">
        <x:v>746</x:v>
      </x:c>
      <x:c r="K4" s="13" t="str">
        <x:v>https://public.nazk.gov.ua/documents/e01389f9-a252-4c0a-8bf9-a029c74ff3f0</x:v>
      </x:c>
    </x:row>
    <x:row r="5">
      <x:c r="A5" s="13" t="str">
        <x:v>HitBTC</x:v>
      </x:c>
      <x:c r="B5" s="13" t="str">
        <x:v>medium</x:v>
      </x:c>
      <x:c r="C5" s="13" t="str">
        <x:v>cosmos1s3mu2eyc7ql5hrcqvuerfhxxfxs7ax4kzye8hz</x:v>
      </x:c>
      <x:c r="D5" s="17" t="n">
        <x:v>12</x:v>
      </x:c>
      <x:c r="E5" s="15" t="n">
        <x:v>1643.276331</x:v>
      </x:c>
      <x:c r="F5" s="15" t="n">
        <x:v>2000</x:v>
      </x:c>
      <x:c r="G5" s="15" t="n">
        <x:f>E5-F5</x:f>
        <x:v>-356.723669</x:v>
      </x:c>
      <x:c r="H5" s="15" t="n">
        <x:v>193010.816603</x:v>
      </x:c>
      <x:c r="I5" s="17" t="n">
        <x:v>230</x:v>
      </x:c>
      <x:c r="J5" s="17" t="n">
        <x:v>277</x:v>
      </x:c>
      <x:c r="K5" s="13" t="str">
        <x:v>https://public.nazk.gov.ua/documents/5d77e625-aeb8-47d6-89ee-390a7397fabc</x:v>
      </x:c>
    </x:row>
  </x:sheetData>
  <x:conditionalFormatting sqref="G2:G5">
    <x:cfRule type="cellIs" dxfId="2" priority="1" operator="less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9.890000343322754" hidden="0" customWidth="1"/>
    <x:col min="3" max="3" width="13.890000343322754" hidden="0" customWidth="1"/>
    <x:col min="4" max="4" width="14.670000076293945" hidden="0" customWidth="1"/>
    <x:col min="5" max="5" width="5" hidden="0" customWidth="1"/>
    <x:col min="6" max="6" width="12.4399995803833" hidden="0" customWidth="1"/>
    <x:col min="7" max="7" width="13.670000076293945" hidden="0" customWidth="1"/>
    <x:col min="8" max="8" width="13.670000076293945" hidden="0" customWidth="1"/>
    <x:col min="9" max="9" width="14.779999732971191" hidden="0" customWidth="1"/>
    <x:col min="10" max="10" width="17.110000610351562" hidden="0" customWidth="1"/>
  </x:cols>
  <x:sheetData>
    <x:row r="1">
      <x:c r="A1" s="9" t="str">
        <x:v>Address</x:v>
      </x:c>
      <x:c r="B1" s="10" t="str">
        <x:v>Public label</x:v>
      </x:c>
      <x:c r="C1" s="10" t="str">
        <x:v>Label confidence</x:v>
      </x:c>
      <x:c r="D1" s="10" t="str">
        <x:v>Candidate tier</x:v>
      </x:c>
      <x:c r="E1" s="10" t="str">
        <x:v>Score</x:v>
      </x:c>
      <x:c r="F1" s="10" t="str">
        <x:v>2h inflow count</x:v>
      </x:c>
      <x:c r="G1" s="10" t="str">
        <x:v>2h inflow (ATOM)</x:v>
      </x:c>
      <x:c r="H1" s="10" t="str">
        <x:v>4d inflow (ATOM)</x:v>
      </x:c>
      <x:c r="I1" s="10" t="str">
        <x:v>4d unique senders</x:v>
      </x:c>
      <x:c r="J1" s="11" t="str">
        <x:v>4d structured memos</x:v>
      </x:c>
    </x:row>
    <x:row r="2">
      <x:c r="A2" s="12" t="str">
        <x:v>cosmos1hjyde2kfgtl78twvhs53u5j2gcsxrt649nn8j5</x:v>
      </x:c>
      <x:c r="B2" s="12" t="str">
        <x:v>Unconfirmed</x:v>
      </x:c>
      <x:c r="C2" s="12" t="str"/>
      <x:c r="D2" s="12" t="str">
        <x:v>behavioral_high</x:v>
      </x:c>
      <x:c r="E2" s="16" t="n">
        <x:v>100</x:v>
      </x:c>
      <x:c r="F2" s="16" t="n">
        <x:v>58</x:v>
      </x:c>
      <x:c r="G2" s="14" t="n">
        <x:v>312920.045667</x:v>
      </x:c>
      <x:c r="H2" s="14" t="n">
        <x:v>1564430.542012</x:v>
      </x:c>
      <x:c r="I2" s="16" t="n">
        <x:v>65</x:v>
      </x:c>
      <x:c r="J2" s="16" t="n">
        <x:v>471</x:v>
      </x:c>
    </x:row>
    <x:row r="3">
      <x:c r="A3" s="13" t="str">
        <x:v>cosmos1erzjr93gcqgvcs7azqaglrjqy5ntzn3da5p340</x:v>
      </x:c>
      <x:c r="B3" s="13" t="str">
        <x:v>Unconfirmed</x:v>
      </x:c>
      <x:c r="C3" s="13" t="str"/>
      <x:c r="D3" s="13" t="str">
        <x:v>behavioral_high</x:v>
      </x:c>
      <x:c r="E3" s="17" t="n">
        <x:v>100</x:v>
      </x:c>
      <x:c r="F3" s="17" t="n">
        <x:v>31</x:v>
      </x:c>
      <x:c r="G3" s="15" t="n">
        <x:v>126594.03152</x:v>
      </x:c>
      <x:c r="H3" s="15" t="n">
        <x:v>471202.242184</x:v>
      </x:c>
      <x:c r="I3" s="17" t="n">
        <x:v>27</x:v>
      </x:c>
      <x:c r="J3" s="17" t="n">
        <x:v>209</x:v>
      </x:c>
    </x:row>
    <x:row r="4">
      <x:c r="A4" s="13" t="str">
        <x:v>cosmos1t5u0jfg3ljsjrh2m9e47d4ny2hea7eehxrzdgd</x:v>
      </x:c>
      <x:c r="B4" s="13" t="str">
        <x:v>Unconfirmed</x:v>
      </x:c>
      <x:c r="C4" s="13" t="str"/>
      <x:c r="D4" s="13" t="str">
        <x:v>behavioral_medium</x:v>
      </x:c>
      <x:c r="E4" s="17" t="n">
        <x:v>60</x:v>
      </x:c>
      <x:c r="F4" s="17" t="n">
        <x:v>19</x:v>
      </x:c>
      <x:c r="G4" s="15" t="n">
        <x:v>109813.828085</x:v>
      </x:c>
      <x:c r="H4" s="15" t="n">
        <x:v>2959532.879638</x:v>
      </x:c>
      <x:c r="I4" s="17" t="n">
        <x:v>52</x:v>
      </x:c>
      <x:c r="J4" s="17" t="n">
        <x:v>0</x:v>
      </x:c>
    </x:row>
    <x:row r="5">
      <x:c r="A5" s="13" t="str">
        <x:v>cosmos1j8pp7zvcu9z8vd882m284j29fn2dszh05cqvf9</x:v>
      </x:c>
      <x:c r="B5" s="13" t="str">
        <x:v>Binance</x:v>
      </x:c>
      <x:c r="C5" s="13" t="str">
        <x:v>high</x:v>
      </x:c>
      <x:c r="D5" s="13" t="str">
        <x:v>behavioral_high</x:v>
      </x:c>
      <x:c r="E5" s="17" t="n">
        <x:v>100</x:v>
      </x:c>
      <x:c r="F5" s="17" t="n">
        <x:v>121</x:v>
      </x:c>
      <x:c r="G5" s="15" t="n">
        <x:v>97169.746497</x:v>
      </x:c>
      <x:c r="H5" s="15" t="n">
        <x:v>3649006.003229</x:v>
      </x:c>
      <x:c r="I5" s="17" t="n">
        <x:v>1141</x:v>
      </x:c>
      <x:c r="J5" s="17" t="n">
        <x:v>3134</x:v>
      </x:c>
    </x:row>
    <x:row r="6">
      <x:c r="A6" s="13" t="str">
        <x:v>cosmos1ctpu5ssl0hys60ukglv9pwzmqtys3x9gqf3vny</x:v>
      </x:c>
      <x:c r="B6" s="13" t="str">
        <x:v>Unconfirmed</x:v>
      </x:c>
      <x:c r="C6" s="13" t="str"/>
      <x:c r="D6" s="13" t="str">
        <x:v>behavioral_medium</x:v>
      </x:c>
      <x:c r="E6" s="17" t="n">
        <x:v>60</x:v>
      </x:c>
      <x:c r="F6" s="17" t="n">
        <x:v>40</x:v>
      </x:c>
      <x:c r="G6" s="15" t="n">
        <x:v>76831.400206</x:v>
      </x:c>
      <x:c r="H6" s="15" t="n">
        <x:v>785431.631072</x:v>
      </x:c>
      <x:c r="I6" s="17" t="n">
        <x:v>279</x:v>
      </x:c>
      <x:c r="J6" s="17" t="n">
        <x:v>0</x:v>
      </x:c>
    </x:row>
    <x:row r="7">
      <x:c r="A7" s="13" t="str">
        <x:v>cosmos1vl8xm7x04cedgh639hc9ucvf6zc754fyfewhef</x:v>
      </x:c>
      <x:c r="B7" s="13" t="str">
        <x:v>KuCoin</x:v>
      </x:c>
      <x:c r="C7" s="13" t="str">
        <x:v>medium</x:v>
      </x:c>
      <x:c r="D7" s="13" t="str">
        <x:v>behavioral_high</x:v>
      </x:c>
      <x:c r="E7" s="17" t="n">
        <x:v>100</x:v>
      </x:c>
      <x:c r="F7" s="17" t="n">
        <x:v>10</x:v>
      </x:c>
      <x:c r="G7" s="15" t="n">
        <x:v>72369.536271</x:v>
      </x:c>
      <x:c r="H7" s="15" t="n">
        <x:v>1210353.654988</x:v>
      </x:c>
      <x:c r="I7" s="17" t="n">
        <x:v>120</x:v>
      </x:c>
      <x:c r="J7" s="17" t="n">
        <x:v>391</x:v>
      </x:c>
    </x:row>
    <x:row r="8">
      <x:c r="A8" s="13" t="str">
        <x:v>cosmos16na4yg4rtt4n8j72n54uy5mvxn7f08l7t4h3xv</x:v>
      </x:c>
      <x:c r="B8" s="13" t="str">
        <x:v>Unconfirmed</x:v>
      </x:c>
      <x:c r="C8" s="13" t="str"/>
      <x:c r="D8" s="13" t="str">
        <x:v>behavioral_high</x:v>
      </x:c>
      <x:c r="E8" s="17" t="n">
        <x:v>76</x:v>
      </x:c>
      <x:c r="F8" s="17" t="n">
        <x:v>6</x:v>
      </x:c>
      <x:c r="G8" s="15" t="n">
        <x:v>61806.561437</x:v>
      </x:c>
      <x:c r="H8" s="15" t="n">
        <x:v>126584.945592</x:v>
      </x:c>
      <x:c r="I8" s="17" t="n">
        <x:v>4</x:v>
      </x:c>
      <x:c r="J8" s="17" t="n">
        <x:v>17</x:v>
      </x:c>
    </x:row>
    <x:row r="9">
      <x:c r="A9" s="13" t="str">
        <x:v>cosmos19umfqffzdp4l4442gz44qt6mknfvs0a3wpprm8</x:v>
      </x:c>
      <x:c r="B9" s="13" t="str">
        <x:v>Unconfirmed</x:v>
      </x:c>
      <x:c r="C9" s="13" t="str"/>
      <x:c r="D9" s="13" t="str">
        <x:v>behavioral_high</x:v>
      </x:c>
      <x:c r="E9" s="17" t="n">
        <x:v>67</x:v>
      </x:c>
      <x:c r="F9" s="17" t="n">
        <x:v>3</x:v>
      </x:c>
      <x:c r="G9" s="15" t="n">
        <x:v>45925.6139</x:v>
      </x:c>
      <x:c r="H9" s="15" t="n">
        <x:v>68199.596901</x:v>
      </x:c>
      <x:c r="I9" s="17" t="n">
        <x:v>4</x:v>
      </x:c>
      <x:c r="J9" s="17" t="n">
        <x:v>5</x:v>
      </x:c>
    </x:row>
    <x:row r="10">
      <x:c r="A10" s="13" t="str">
        <x:v>cosmos1yj9dt8nknw46uf4mm3vhy5jklxhzdstuzpafcm</x:v>
      </x:c>
      <x:c r="B10" s="13" t="str">
        <x:v>Unconfirmed</x:v>
      </x:c>
      <x:c r="C10" s="13" t="str"/>
      <x:c r="D10" s="13" t="str">
        <x:v>behavioral_high</x:v>
      </x:c>
      <x:c r="E10" s="17" t="n">
        <x:v>69</x:v>
      </x:c>
      <x:c r="F10" s="17" t="n">
        <x:v>2</x:v>
      </x:c>
      <x:c r="G10" s="15" t="n">
        <x:v>32100.4168</x:v>
      </x:c>
      <x:c r="H10" s="15" t="n">
        <x:v>129901.949801</x:v>
      </x:c>
      <x:c r="I10" s="17" t="n">
        <x:v>5</x:v>
      </x:c>
      <x:c r="J10" s="17" t="n">
        <x:v>5</x:v>
      </x:c>
    </x:row>
    <x:row r="11">
      <x:c r="A11" s="13" t="str">
        <x:v>cosmos1t4d55agpf9xlsmgwc0c2yw6vvcrj6degtdf94c</x:v>
      </x:c>
      <x:c r="B11" s="13" t="str">
        <x:v>Unconfirmed</x:v>
      </x:c>
      <x:c r="C11" s="13" t="str"/>
      <x:c r="D11" s="13" t="str">
        <x:v>behavioral_medium</x:v>
      </x:c>
      <x:c r="E11" s="17" t="n">
        <x:v>58</x:v>
      </x:c>
      <x:c r="F11" s="17" t="n">
        <x:v>1</x:v>
      </x:c>
      <x:c r="G11" s="15" t="n">
        <x:v>31631.34518</x:v>
      </x:c>
      <x:c r="H11" s="15" t="n">
        <x:v>164496.331726</x:v>
      </x:c>
      <x:c r="I11" s="17" t="n">
        <x:v>3</x:v>
      </x:c>
      <x:c r="J11" s="17" t="n">
        <x:v>2</x:v>
      </x:c>
    </x:row>
    <x:row r="12">
      <x:c r="A12" s="13" t="str">
        <x:v>cosmos1r6urzhdn72mypazwefer3zq3ypwaxke2ce4ksf</x:v>
      </x:c>
      <x:c r="B12" s="13" t="str">
        <x:v>Unconfirmed</x:v>
      </x:c>
      <x:c r="C12" s="13" t="str"/>
      <x:c r="D12" s="13" t="str">
        <x:v>behavioral_medium</x:v>
      </x:c>
      <x:c r="E12" s="17" t="n">
        <x:v>84</x:v>
      </x:c>
      <x:c r="F12" s="17" t="n">
        <x:v>1</x:v>
      </x:c>
      <x:c r="G12" s="15" t="n">
        <x:v>28782.78172</x:v>
      </x:c>
      <x:c r="H12" s="15" t="n">
        <x:v>511675.642823</x:v>
      </x:c>
      <x:c r="I12" s="17" t="n">
        <x:v>2</x:v>
      </x:c>
      <x:c r="J12" s="17" t="n">
        <x:v>15</x:v>
      </x:c>
    </x:row>
    <x:row r="13">
      <x:c r="A13" s="13" t="str">
        <x:v>cosmos1jr9vwrjtv2z4nkngzu0yrmw9gfxj0n97uy9hkt</x:v>
      </x:c>
      <x:c r="B13" s="13" t="str">
        <x:v>Unconfirmed</x:v>
      </x:c>
      <x:c r="C13" s="13" t="str"/>
      <x:c r="D13" s="13" t="str">
        <x:v>behavioral_medium</x:v>
      </x:c>
      <x:c r="E13" s="17" t="n">
        <x:v>60</x:v>
      </x:c>
      <x:c r="F13" s="17" t="n">
        <x:v>23</x:v>
      </x:c>
      <x:c r="G13" s="15" t="n">
        <x:v>27631.817631</x:v>
      </x:c>
      <x:c r="H13" s="15" t="n">
        <x:v>1216479.356771</x:v>
      </x:c>
      <x:c r="I13" s="17" t="n">
        <x:v>99</x:v>
      </x:c>
      <x:c r="J13" s="17" t="n">
        <x:v>0</x:v>
      </x:c>
    </x:row>
    <x:row r="14">
      <x:c r="A14" s="13" t="str">
        <x:v>cosmos14unngupfwq479q5k27wq93eh5hutsjr4xngjcq</x:v>
      </x:c>
      <x:c r="B14" s="13" t="str">
        <x:v>Unconfirmed</x:v>
      </x:c>
      <x:c r="C14" s="13" t="str"/>
      <x:c r="D14" s="13" t="str">
        <x:v>behavioral_high</x:v>
      </x:c>
      <x:c r="E14" s="17" t="n">
        <x:v>100</x:v>
      </x:c>
      <x:c r="F14" s="17" t="n">
        <x:v>22</x:v>
      </x:c>
      <x:c r="G14" s="15" t="n">
        <x:v>26850.672733</x:v>
      </x:c>
      <x:c r="H14" s="15" t="n">
        <x:v>113562.589909</x:v>
      </x:c>
      <x:c r="I14" s="17" t="n">
        <x:v>30</x:v>
      </x:c>
      <x:c r="J14" s="17" t="n">
        <x:v>133</x:v>
      </x:c>
    </x:row>
    <x:row r="15">
      <x:c r="A15" s="13" t="str">
        <x:v>cosmos13rf3upgznjvrwdgwje7ts8ja605a06hvaqlt7d</x:v>
      </x:c>
      <x:c r="B15" s="13" t="str">
        <x:v>Unconfirmed</x:v>
      </x:c>
      <x:c r="C15" s="13" t="str"/>
      <x:c r="D15" s="13" t="str">
        <x:v>behavioral_high</x:v>
      </x:c>
      <x:c r="E15" s="17" t="n">
        <x:v>94</x:v>
      </x:c>
      <x:c r="F15" s="17" t="n">
        <x:v>12</x:v>
      </x:c>
      <x:c r="G15" s="15" t="n">
        <x:v>24979.418274</x:v>
      </x:c>
      <x:c r="H15" s="15" t="n">
        <x:v>100423.467799</x:v>
      </x:c>
      <x:c r="I15" s="17" t="n">
        <x:v>12</x:v>
      </x:c>
      <x:c r="J15" s="17" t="n">
        <x:v>55</x:v>
      </x:c>
    </x:row>
    <x:row r="16">
      <x:c r="A16" s="13" t="str">
        <x:v>cosmos17kvae2jckzpkct78yealre3ms2gu28cdmtwsv7</x:v>
      </x:c>
      <x:c r="B16" s="13" t="str">
        <x:v>Unconfirmed</x:v>
      </x:c>
      <x:c r="C16" s="13" t="str"/>
      <x:c r="D16" s="13" t="str">
        <x:v>behavioral_medium</x:v>
      </x:c>
      <x:c r="E16" s="17" t="n">
        <x:v>60</x:v>
      </x:c>
      <x:c r="F16" s="17" t="n">
        <x:v>41</x:v>
      </x:c>
      <x:c r="G16" s="15" t="n">
        <x:v>24043.482894</x:v>
      </x:c>
      <x:c r="H16" s="15" t="n">
        <x:v>581348.495918</x:v>
      </x:c>
      <x:c r="I16" s="17" t="n">
        <x:v>565</x:v>
      </x:c>
      <x:c r="J16" s="17" t="n">
        <x:v>0</x:v>
      </x:c>
    </x:row>
    <x:row r="17">
      <x:c r="A17" s="13" t="str">
        <x:v>cosmos197v98nkhnxr54x45hrcagnu2rr2ckyn7dz37t6</x:v>
      </x:c>
      <x:c r="B17" s="13" t="str">
        <x:v>Unconfirmed</x:v>
      </x:c>
      <x:c r="C17" s="13" t="str"/>
      <x:c r="D17" s="13" t="str">
        <x:v>behavioral_high</x:v>
      </x:c>
      <x:c r="E17" s="17" t="n">
        <x:v>100</x:v>
      </x:c>
      <x:c r="F17" s="17" t="n">
        <x:v>1</x:v>
      </x:c>
      <x:c r="G17" s="15" t="n">
        <x:v>17778.142307</x:v>
      </x:c>
      <x:c r="H17" s="15" t="n">
        <x:v>45669.412472</x:v>
      </x:c>
      <x:c r="I17" s="17" t="n">
        <x:v>24</x:v>
      </x:c>
      <x:c r="J17" s="17" t="n">
        <x:v>38</x:v>
      </x:c>
    </x:row>
    <x:row r="18">
      <x:c r="A18" s="13" t="str">
        <x:v>cosmos144sh8vyv5nqfylmg4mlydnpe3l4w780jsrmf4k</x:v>
      </x:c>
      <x:c r="B18" s="13" t="str">
        <x:v>MEXC</x:v>
      </x:c>
      <x:c r="C18" s="13" t="str">
        <x:v>medium</x:v>
      </x:c>
      <x:c r="D18" s="13" t="str">
        <x:v>behavioral_high</x:v>
      </x:c>
      <x:c r="E18" s="17" t="n">
        <x:v>100</x:v>
      </x:c>
      <x:c r="F18" s="17" t="n">
        <x:v>50</x:v>
      </x:c>
      <x:c r="G18" s="15" t="n">
        <x:v>16870.860988</x:v>
      </x:c>
      <x:c r="H18" s="15" t="n">
        <x:v>379862.615658</x:v>
      </x:c>
      <x:c r="I18" s="17" t="n">
        <x:v>376</x:v>
      </x:c>
      <x:c r="J18" s="17" t="n">
        <x:v>746</x:v>
      </x:c>
    </x:row>
    <x:row r="19">
      <x:c r="A19" s="13" t="str">
        <x:v>cosmos1qkknhtwh7guyu0ht9gphlxttnrap6rd7qaykhn</x:v>
      </x:c>
      <x:c r="B19" s="13" t="str">
        <x:v>Unconfirmed</x:v>
      </x:c>
      <x:c r="C19" s="13" t="str"/>
      <x:c r="D19" s="13" t="str">
        <x:v>behavioral_medium</x:v>
      </x:c>
      <x:c r="E19" s="17" t="n">
        <x:v>59</x:v>
      </x:c>
      <x:c r="F19" s="17" t="n">
        <x:v>1</x:v>
      </x:c>
      <x:c r="G19" s="15" t="n">
        <x:v>16748.448755</x:v>
      </x:c>
      <x:c r="H19" s="15" t="n">
        <x:v>170846.522613</x:v>
      </x:c>
      <x:c r="I19" s="17" t="n">
        <x:v>3</x:v>
      </x:c>
      <x:c r="J19" s="17" t="n">
        <x:v>2</x:v>
      </x:c>
    </x:row>
    <x:row r="20">
      <x:c r="A20" s="13" t="str">
        <x:v>cosmos1h9ymfm2fxrqgd257dlw5nku3jgqjgpl59sm5ns</x:v>
      </x:c>
      <x:c r="B20" s="13" t="str">
        <x:v>Unconfirmed</x:v>
      </x:c>
      <x:c r="C20" s="13" t="str"/>
      <x:c r="D20" s="13" t="str">
        <x:v>behavioral_medium</x:v>
      </x:c>
      <x:c r="E20" s="17" t="n">
        <x:v>60</x:v>
      </x:c>
      <x:c r="F20" s="17" t="n">
        <x:v>5</x:v>
      </x:c>
      <x:c r="G20" s="15" t="n">
        <x:v>16415.822649</x:v>
      </x:c>
      <x:c r="H20" s="15" t="n">
        <x:v>45549.063574</x:v>
      </x:c>
      <x:c r="I20" s="17" t="n">
        <x:v>10</x:v>
      </x:c>
      <x:c r="J20" s="17" t="n">
        <x:v>0</x:v>
      </x:c>
    </x:row>
    <x:row r="21">
      <x:c r="A21" s="13" t="str">
        <x:v>cosmos14xg6pemmdpn4wc626zp5syz7k7lds3a448pud3</x:v>
      </x:c>
      <x:c r="B21" s="13" t="str">
        <x:v>Unconfirmed</x:v>
      </x:c>
      <x:c r="C21" s="13" t="str"/>
      <x:c r="D21" s="13" t="str">
        <x:v>behavioral_high</x:v>
      </x:c>
      <x:c r="E21" s="17" t="n">
        <x:v>82</x:v>
      </x:c>
      <x:c r="F21" s="17" t="n">
        <x:v>5</x:v>
      </x:c>
      <x:c r="G21" s="15" t="n">
        <x:v>15779.94207</x:v>
      </x:c>
      <x:c r="H21" s="15" t="n">
        <x:v>731126.918561</x:v>
      </x:c>
      <x:c r="I21" s="17" t="n">
        <x:v>7</x:v>
      </x:c>
      <x:c r="J21" s="17" t="n">
        <x:v>257</x:v>
      </x:c>
    </x:row>
    <x:row r="22">
      <x:c r="A22" s="13" t="str">
        <x:v>cosmos1h9q07j6zf9d23mm0fh9c7kq54ht3amn8wx7r90</x:v>
      </x:c>
      <x:c r="B22" s="13" t="str">
        <x:v>Unconfirmed</x:v>
      </x:c>
      <x:c r="C22" s="13" t="str"/>
      <x:c r="D22" s="13" t="str">
        <x:v>behavioral_medium</x:v>
      </x:c>
      <x:c r="E22" s="17" t="n">
        <x:v>59</x:v>
      </x:c>
      <x:c r="F22" s="17" t="n">
        <x:v>1</x:v>
      </x:c>
      <x:c r="G22" s="15" t="n">
        <x:v>14783.123498</x:v>
      </x:c>
      <x:c r="H22" s="15" t="n">
        <x:v>300915.532995</x:v>
      </x:c>
      <x:c r="I22" s="17" t="n">
        <x:v>3</x:v>
      </x:c>
      <x:c r="J22" s="17" t="n">
        <x:v>2</x:v>
      </x:c>
    </x:row>
    <x:row r="23">
      <x:c r="A23" s="13" t="str">
        <x:v>cosmos1mdun83u7lrmnvqukp2awf6gl234l492wx8lkp6</x:v>
      </x:c>
      <x:c r="B23" s="13" t="str">
        <x:v>Unconfirmed</x:v>
      </x:c>
      <x:c r="C23" s="13" t="str"/>
      <x:c r="D23" s="13" t="str">
        <x:v>behavioral_high</x:v>
      </x:c>
      <x:c r="E23" s="17" t="n">
        <x:v>87</x:v>
      </x:c>
      <x:c r="F23" s="17" t="n">
        <x:v>9</x:v>
      </x:c>
      <x:c r="G23" s="15" t="n">
        <x:v>13704.678999</x:v>
      </x:c>
      <x:c r="H23" s="15" t="n">
        <x:v>59970.029163</x:v>
      </x:c>
      <x:c r="I23" s="17" t="n">
        <x:v>8</x:v>
      </x:c>
      <x:c r="J23" s="17" t="n">
        <x:v>40</x:v>
      </x:c>
    </x:row>
    <x:row r="24">
      <x:c r="A24" s="13" t="str">
        <x:v>cosmos1dnssyzyhnja28zdww2ffa6fcxaxwanguf7nmq7</x:v>
      </x:c>
      <x:c r="B24" s="13" t="str">
        <x:v>Unconfirmed</x:v>
      </x:c>
      <x:c r="C24" s="13" t="str"/>
      <x:c r="D24" s="13" t="str">
        <x:v>behavioral_medium</x:v>
      </x:c>
      <x:c r="E24" s="17" t="n">
        <x:v>60</x:v>
      </x:c>
      <x:c r="F24" s="17" t="n">
        <x:v>10</x:v>
      </x:c>
      <x:c r="G24" s="15" t="n">
        <x:v>12689.735943</x:v>
      </x:c>
      <x:c r="H24" s="15" t="n">
        <x:v>158121.47745</x:v>
      </x:c>
      <x:c r="I24" s="17" t="n">
        <x:v>15</x:v>
      </x:c>
      <x:c r="J24" s="17" t="n">
        <x:v>0</x:v>
      </x:c>
    </x:row>
    <x:row r="25">
      <x:c r="A25" s="13" t="str">
        <x:v>cosmos16rx929p33z6pq9v2q7q99p34cdsy5mtfhv6h55</x:v>
      </x:c>
      <x:c r="B25" s="13" t="str">
        <x:v>Unconfirmed</x:v>
      </x:c>
      <x:c r="C25" s="13" t="str"/>
      <x:c r="D25" s="13" t="str">
        <x:v>behavioral_medium</x:v>
      </x:c>
      <x:c r="E25" s="17" t="n">
        <x:v>58</x:v>
      </x:c>
      <x:c r="F25" s="17" t="n">
        <x:v>1</x:v>
      </x:c>
      <x:c r="G25" s="15" t="n">
        <x:v>12167.372596</x:v>
      </x:c>
      <x:c r="H25" s="15" t="n">
        <x:v>261837.689591</x:v>
      </x:c>
      <x:c r="I25" s="17" t="n">
        <x:v>3</x:v>
      </x:c>
      <x:c r="J25" s="17" t="n">
        <x:v>2</x:v>
      </x:c>
    </x:row>
    <x:row r="26">
      <x:c r="A26" s="13" t="str">
        <x:v>cosmos1xduexjk4uxcdth3re5sdlgycducv8wkr5yu6lg</x:v>
      </x:c>
      <x:c r="B26" s="13" t="str">
        <x:v>Unconfirmed</x:v>
      </x:c>
      <x:c r="C26" s="13" t="str"/>
      <x:c r="D26" s="13" t="str">
        <x:v>behavioral_high</x:v>
      </x:c>
      <x:c r="E26" s="17" t="n">
        <x:v>88</x:v>
      </x:c>
      <x:c r="F26" s="17" t="n">
        <x:v>6</x:v>
      </x:c>
      <x:c r="G26" s="15" t="n">
        <x:v>11449.02837</x:v>
      </x:c>
      <x:c r="H26" s="15" t="n">
        <x:v>221692.533115</x:v>
      </x:c>
      <x:c r="I26" s="17" t="n">
        <x:v>27</x:v>
      </x:c>
      <x:c r="J26" s="17" t="n">
        <x:v>117</x:v>
      </x:c>
    </x:row>
    <x:row r="27">
      <x:c r="A27" s="13" t="str">
        <x:v>cosmos1hhhsve0468lvc9zqkfmg286z9msqylww0dk3a8</x:v>
      </x:c>
      <x:c r="B27" s="13" t="str">
        <x:v>Unconfirmed</x:v>
      </x:c>
      <x:c r="C27" s="13" t="str"/>
      <x:c r="D27" s="13" t="str">
        <x:v>behavioral_high</x:v>
      </x:c>
      <x:c r="E27" s="17" t="n">
        <x:v>75</x:v>
      </x:c>
      <x:c r="F27" s="17" t="n">
        <x:v>2</x:v>
      </x:c>
      <x:c r="G27" s="15" t="n">
        <x:v>11136.31</x:v>
      </x:c>
      <x:c r="H27" s="15" t="n">
        <x:v>23513.792001</x:v>
      </x:c>
      <x:c r="I27" s="17" t="n">
        <x:v>6</x:v>
      </x:c>
      <x:c r="J27" s="17" t="n">
        <x:v>9</x:v>
      </x:c>
    </x:row>
    <x:row r="28">
      <x:c r="A28" s="13" t="str">
        <x:v>cosmos12wdyqye0tp3kwwzw34xp5mxm97r4hrjrk7n28k</x:v>
      </x:c>
      <x:c r="B28" s="13" t="str">
        <x:v>Unconfirmed</x:v>
      </x:c>
      <x:c r="C28" s="13" t="str"/>
      <x:c r="D28" s="13" t="str">
        <x:v>behavioral_high</x:v>
      </x:c>
      <x:c r="E28" s="17" t="n">
        <x:v>72</x:v>
      </x:c>
      <x:c r="F28" s="17" t="n">
        <x:v>2</x:v>
      </x:c>
      <x:c r="G28" s="15" t="n">
        <x:v>10304.45</x:v>
      </x:c>
      <x:c r="H28" s="15" t="n">
        <x:v>18182.113001</x:v>
      </x:c>
      <x:c r="I28" s="17" t="n">
        <x:v>6</x:v>
      </x:c>
      <x:c r="J28" s="17" t="n">
        <x:v>5</x:v>
      </x:c>
    </x:row>
    <x:row r="29">
      <x:c r="A29" s="13" t="str">
        <x:v>cosmos1lqfxgdczgwpqtkh0z8ssa29netc84grsunmzfj</x:v>
      </x:c>
      <x:c r="B29" s="13" t="str">
        <x:v>Unconfirmed</x:v>
      </x:c>
      <x:c r="C29" s="13" t="str"/>
      <x:c r="D29" s="13" t="str">
        <x:v>behavioral_medium</x:v>
      </x:c>
      <x:c r="E29" s="17" t="n">
        <x:v>60</x:v>
      </x:c>
      <x:c r="F29" s="17" t="n">
        <x:v>7</x:v>
      </x:c>
      <x:c r="G29" s="15" t="n">
        <x:v>10162.645962</x:v>
      </x:c>
      <x:c r="H29" s="15" t="n">
        <x:v>37647.51197</x:v>
      </x:c>
      <x:c r="I29" s="17" t="n">
        <x:v>93</x:v>
      </x:c>
      <x:c r="J29" s="17" t="n">
        <x:v>0</x:v>
      </x:c>
    </x:row>
    <x:row r="30">
      <x:c r="A30" s="13" t="str">
        <x:v>cosmos1asvar8ktsjg3f0snhlggq46pfqac0frr5wm7nt</x:v>
      </x:c>
      <x:c r="B30" s="13" t="str">
        <x:v>Unconfirmed</x:v>
      </x:c>
      <x:c r="C30" s="13" t="str"/>
      <x:c r="D30" s="13" t="str">
        <x:v>behavioral_medium</x:v>
      </x:c>
      <x:c r="E30" s="17" t="n">
        <x:v>60</x:v>
      </x:c>
      <x:c r="F30" s="17" t="n">
        <x:v>6</x:v>
      </x:c>
      <x:c r="G30" s="15" t="n">
        <x:v>9894.768015</x:v>
      </x:c>
      <x:c r="H30" s="15" t="n">
        <x:v>166177.79878</x:v>
      </x:c>
      <x:c r="I30" s="17" t="n">
        <x:v>35</x:v>
      </x:c>
      <x:c r="J30" s="17" t="n">
        <x:v>0</x:v>
      </x:c>
    </x:row>
    <x:row r="31">
      <x:c r="A31" s="13" t="str">
        <x:v>cosmos1y9xlc9yyqctl2dc4uesn9lm34s7t7cpqsv93cx</x:v>
      </x:c>
      <x:c r="B31" s="13" t="str">
        <x:v>Unconfirmed</x:v>
      </x:c>
      <x:c r="C31" s="13" t="str"/>
      <x:c r="D31" s="13" t="str">
        <x:v>behavioral_high</x:v>
      </x:c>
      <x:c r="E31" s="17" t="n">
        <x:v>100</x:v>
      </x:c>
      <x:c r="F31" s="17" t="n">
        <x:v>4</x:v>
      </x:c>
      <x:c r="G31" s="15" t="n">
        <x:v>8066.981884</x:v>
      </x:c>
      <x:c r="H31" s="15" t="n">
        <x:v>145511.439339</x:v>
      </x:c>
      <x:c r="I31" s="17" t="n">
        <x:v>88</x:v>
      </x:c>
      <x:c r="J31" s="17" t="n">
        <x:v>172</x:v>
      </x:c>
    </x:row>
    <x:row r="32">
      <x:c r="A32" s="13" t="str">
        <x:v>cosmos1ncq3d3442pfe96vmc7e0f0t304cyqr4y4ne6nt</x:v>
      </x:c>
      <x:c r="B32" s="13" t="str">
        <x:v>Unconfirmed</x:v>
      </x:c>
      <x:c r="C32" s="13" t="str"/>
      <x:c r="D32" s="13" t="str">
        <x:v>behavioral_medium</x:v>
      </x:c>
      <x:c r="E32" s="17" t="n">
        <x:v>60</x:v>
      </x:c>
      <x:c r="F32" s="17" t="n">
        <x:v>10</x:v>
      </x:c>
      <x:c r="G32" s="15" t="n">
        <x:v>7772.029977</x:v>
      </x:c>
      <x:c r="H32" s="15" t="n">
        <x:v>1262101.773879</x:v>
      </x:c>
      <x:c r="I32" s="17" t="n">
        <x:v>382</x:v>
      </x:c>
      <x:c r="J32" s="17" t="n">
        <x:v>0</x:v>
      </x:c>
    </x:row>
    <x:row r="33">
      <x:c r="A33" s="13" t="str">
        <x:v>cosmos1dflfk30y4nuwun9nwn49a3x27sxy4p6q3tkpkn</x:v>
      </x:c>
      <x:c r="B33" s="13" t="str">
        <x:v>Unconfirmed</x:v>
      </x:c>
      <x:c r="C33" s="13" t="str"/>
      <x:c r="D33" s="13" t="str">
        <x:v>behavioral_high</x:v>
      </x:c>
      <x:c r="E33" s="17" t="n">
        <x:v>100</x:v>
      </x:c>
      <x:c r="F33" s="17" t="n">
        <x:v>7</x:v>
      </x:c>
      <x:c r="G33" s="15" t="n">
        <x:v>7276.903196</x:v>
      </x:c>
      <x:c r="H33" s="15" t="n">
        <x:v>74476.239194</x:v>
      </x:c>
      <x:c r="I33" s="17" t="n">
        <x:v>17</x:v>
      </x:c>
      <x:c r="J33" s="17" t="n">
        <x:v>56</x:v>
      </x:c>
    </x:row>
    <x:row r="34">
      <x:c r="A34" s="13" t="str">
        <x:v>cosmos155svs6sgxe55rnvs6ghprtqu0mh69kehrn0dqr</x:v>
      </x:c>
      <x:c r="B34" s="13" t="str">
        <x:v>Unconfirmed</x:v>
      </x:c>
      <x:c r="C34" s="13" t="str"/>
      <x:c r="D34" s="13" t="str">
        <x:v>behavioral_medium</x:v>
      </x:c>
      <x:c r="E34" s="17" t="n">
        <x:v>60</x:v>
      </x:c>
      <x:c r="F34" s="17" t="n">
        <x:v>20</x:v>
      </x:c>
      <x:c r="G34" s="15" t="n">
        <x:v>5615.865793</x:v>
      </x:c>
      <x:c r="H34" s="15" t="n">
        <x:v>665654.554927</x:v>
      </x:c>
      <x:c r="I34" s="17" t="n">
        <x:v>152</x:v>
      </x:c>
      <x:c r="J34" s="17" t="n">
        <x:v>0</x:v>
      </x:c>
    </x:row>
    <x:row r="35">
      <x:c r="A35" s="13" t="str">
        <x:v>cosmos1dng0wewxmsus8xm8zj8jaeugz074xukgehl9dd</x:v>
      </x:c>
      <x:c r="B35" s="13" t="str">
        <x:v>Unconfirmed</x:v>
      </x:c>
      <x:c r="C35" s="13" t="str"/>
      <x:c r="D35" s="13" t="str">
        <x:v>behavioral_high</x:v>
      </x:c>
      <x:c r="E35" s="17" t="n">
        <x:v>68</x:v>
      </x:c>
      <x:c r="F35" s="17" t="n">
        <x:v>1</x:v>
      </x:c>
      <x:c r="G35" s="15" t="n">
        <x:v>5485.49</x:v>
      </x:c>
      <x:c r="H35" s="15" t="n">
        <x:v>14226.325001</x:v>
      </x:c>
      <x:c r="I35" s="17" t="n">
        <x:v>4</x:v>
      </x:c>
      <x:c r="J35" s="17" t="n">
        <x:v>6</x:v>
      </x:c>
    </x:row>
    <x:row r="36">
      <x:c r="A36" s="13" t="str">
        <x:v>cosmos1g4jcejr6s4sghprcprgdxrerya0339f9t79z9u</x:v>
      </x:c>
      <x:c r="B36" s="13" t="str">
        <x:v>Unconfirmed</x:v>
      </x:c>
      <x:c r="C36" s="13" t="str"/>
      <x:c r="D36" s="13" t="str">
        <x:v>behavioral_medium</x:v>
      </x:c>
      <x:c r="E36" s="17" t="n">
        <x:v>39</x:v>
      </x:c>
      <x:c r="F36" s="17" t="n">
        <x:v>1</x:v>
      </x:c>
      <x:c r="G36" s="15" t="n">
        <x:v>4999.98</x:v>
      </x:c>
      <x:c r="H36" s="15" t="n">
        <x:v>4999.980001</x:v>
      </x:c>
      <x:c r="I36" s="17" t="n">
        <x:v>2</x:v>
      </x:c>
      <x:c r="J36" s="17" t="n">
        <x:v>1</x:v>
      </x:c>
    </x:row>
    <x:row r="37">
      <x:c r="A37" s="13" t="str">
        <x:v>cosmos1sagykt4yxgml3ezyajq7rhwps6m4m7nmrrdx99</x:v>
      </x:c>
      <x:c r="B37" s="13" t="str">
        <x:v>Unconfirmed</x:v>
      </x:c>
      <x:c r="C37" s="13" t="str"/>
      <x:c r="D37" s="13" t="str">
        <x:v>behavioral_high</x:v>
      </x:c>
      <x:c r="E37" s="17" t="n">
        <x:v>88</x:v>
      </x:c>
      <x:c r="F37" s="17" t="n">
        <x:v>4</x:v>
      </x:c>
      <x:c r="G37" s="15" t="n">
        <x:v>4694.93</x:v>
      </x:c>
      <x:c r="H37" s="15" t="n">
        <x:v>104611.130601</x:v>
      </x:c>
      <x:c r="I37" s="17" t="n">
        <x:v>12</x:v>
      </x:c>
      <x:c r="J37" s="17" t="n">
        <x:v>31</x:v>
      </x:c>
    </x:row>
    <x:row r="38">
      <x:c r="A38" s="13" t="str">
        <x:v>cosmos14gtpk4vvlsckq24tm3r6dlatl2qls6maa8t80z</x:v>
      </x:c>
      <x:c r="B38" s="13" t="str">
        <x:v>Unconfirmed</x:v>
      </x:c>
      <x:c r="C38" s="13" t="str"/>
      <x:c r="D38" s="13" t="str">
        <x:v>behavioral_medium</x:v>
      </x:c>
      <x:c r="E38" s="17" t="n">
        <x:v>60</x:v>
      </x:c>
      <x:c r="F38" s="17" t="n">
        <x:v>5</x:v>
      </x:c>
      <x:c r="G38" s="15" t="n">
        <x:v>4155.433097</x:v>
      </x:c>
      <x:c r="H38" s="15" t="n">
        <x:v>77476.273961</x:v>
      </x:c>
      <x:c r="I38" s="17" t="n">
        <x:v>43</x:v>
      </x:c>
      <x:c r="J38" s="17" t="n">
        <x:v>0</x:v>
      </x:c>
    </x:row>
    <x:row r="39">
      <x:c r="A39" s="13" t="str">
        <x:v>cosmos1dgjkur9p23qrt8ayep4yaefq9e7nu4meaaslng</x:v>
      </x:c>
      <x:c r="B39" s="13" t="str">
        <x:v>Unconfirmed</x:v>
      </x:c>
      <x:c r="C39" s="13" t="str"/>
      <x:c r="D39" s="13" t="str">
        <x:v>behavioral_high</x:v>
      </x:c>
      <x:c r="E39" s="17" t="n">
        <x:v>100</x:v>
      </x:c>
      <x:c r="F39" s="17" t="n">
        <x:v>9</x:v>
      </x:c>
      <x:c r="G39" s="15" t="n">
        <x:v>4135.848368</x:v>
      </x:c>
      <x:c r="H39" s="15" t="n">
        <x:v>9255.000994</x:v>
      </x:c>
      <x:c r="I39" s="17" t="n">
        <x:v>14</x:v>
      </x:c>
      <x:c r="J39" s="17" t="n">
        <x:v>30</x:v>
      </x:c>
    </x:row>
    <x:row r="40">
      <x:c r="A40" s="13" t="str">
        <x:v>cosmos1vwuv6pka3qhlxzeqh5hl8ccwt8sw4llqlf3fqc</x:v>
      </x:c>
      <x:c r="B40" s="13" t="str">
        <x:v>Unconfirmed</x:v>
      </x:c>
      <x:c r="C40" s="13" t="str"/>
      <x:c r="D40" s="13" t="str">
        <x:v>behavioral_high</x:v>
      </x:c>
      <x:c r="E40" s="17" t="n">
        <x:v>82</x:v>
      </x:c>
      <x:c r="F40" s="17" t="n">
        <x:v>7</x:v>
      </x:c>
      <x:c r="G40" s="15" t="n">
        <x:v>4135.4</x:v>
      </x:c>
      <x:c r="H40" s="15" t="n">
        <x:v>173674.400003</x:v>
      </x:c>
      <x:c r="I40" s="17" t="n">
        <x:v>7</x:v>
      </x:c>
      <x:c r="J40" s="17" t="n">
        <x:v>92</x:v>
      </x:c>
    </x:row>
    <x:row r="41">
      <x:c r="A41" s="13" t="str">
        <x:v>cosmos157srr0jmzreyafxre8mmvhv06vxnlh9hj6k7x9</x:v>
      </x:c>
      <x:c r="B41" s="13" t="str">
        <x:v>Unconfirmed</x:v>
      </x:c>
      <x:c r="C41" s="13" t="str"/>
      <x:c r="D41" s="13" t="str">
        <x:v>behavioral_high</x:v>
      </x:c>
      <x:c r="E41" s="17" t="n">
        <x:v>100</x:v>
      </x:c>
      <x:c r="F41" s="17" t="n">
        <x:v>5</x:v>
      </x:c>
      <x:c r="G41" s="15" t="n">
        <x:v>4042.180934</x:v>
      </x:c>
      <x:c r="H41" s="15" t="n">
        <x:v>75577.979191</x:v>
      </x:c>
      <x:c r="I41" s="17" t="n">
        <x:v>38</x:v>
      </x:c>
      <x:c r="J41" s="17" t="n">
        <x:v>179</x:v>
      </x:c>
    </x:row>
    <x:row r="42">
      <x:c r="A42" s="13" t="str">
        <x:v>cosmos120yy882ct2jz5fxcamyr9r6ynxgym6ym0g6me6</x:v>
      </x:c>
      <x:c r="B42" s="13" t="str">
        <x:v>Unconfirmed</x:v>
      </x:c>
      <x:c r="C42" s="13" t="str"/>
      <x:c r="D42" s="13" t="str">
        <x:v>behavioral_high</x:v>
      </x:c>
      <x:c r="E42" s="17" t="n">
        <x:v>100</x:v>
      </x:c>
      <x:c r="F42" s="17" t="n">
        <x:v>11</x:v>
      </x:c>
      <x:c r="G42" s="15" t="n">
        <x:v>4006.314834</x:v>
      </x:c>
      <x:c r="H42" s="15" t="n">
        <x:v>153318.884607</x:v>
      </x:c>
      <x:c r="I42" s="17" t="n">
        <x:v>69</x:v>
      </x:c>
      <x:c r="J42" s="17" t="n">
        <x:v>75</x:v>
      </x:c>
    </x:row>
    <x:row r="43">
      <x:c r="A43" s="13" t="str">
        <x:v>cosmos1z7g5w84ynmjyg0kqpahdjqpj7yq34v3suckp0e</x:v>
      </x:c>
      <x:c r="B43" s="13" t="str">
        <x:v>Unconfirmed</x:v>
      </x:c>
      <x:c r="C43" s="13" t="str"/>
      <x:c r="D43" s="13" t="str">
        <x:v>behavioral_high</x:v>
      </x:c>
      <x:c r="E43" s="17" t="n">
        <x:v>100</x:v>
      </x:c>
      <x:c r="F43" s="17" t="n">
        <x:v>7</x:v>
      </x:c>
      <x:c r="G43" s="15" t="n">
        <x:v>3810.978193</x:v>
      </x:c>
      <x:c r="H43" s="15" t="n">
        <x:v>112757.688554</x:v>
      </x:c>
      <x:c r="I43" s="17" t="n">
        <x:v>26</x:v>
      </x:c>
      <x:c r="J43" s="17" t="n">
        <x:v>96</x:v>
      </x:c>
    </x:row>
    <x:row r="44">
      <x:c r="A44" s="13" t="str">
        <x:v>cosmos1n8pnue8exdfxdmyytls05mrt8lvwsk2me8le0d</x:v>
      </x:c>
      <x:c r="B44" s="13" t="str">
        <x:v>Unconfirmed</x:v>
      </x:c>
      <x:c r="C44" s="13" t="str"/>
      <x:c r="D44" s="13" t="str">
        <x:v>behavioral_high</x:v>
      </x:c>
      <x:c r="E44" s="17" t="n">
        <x:v>88</x:v>
      </x:c>
      <x:c r="F44" s="17" t="n">
        <x:v>1</x:v>
      </x:c>
      <x:c r="G44" s="15" t="n">
        <x:v>3558.98</x:v>
      </x:c>
      <x:c r="H44" s="15" t="n">
        <x:v>89831.256001</x:v>
      </x:c>
      <x:c r="I44" s="17" t="n">
        <x:v>10</x:v>
      </x:c>
      <x:c r="J44" s="17" t="n">
        <x:v>35</x:v>
      </x:c>
    </x:row>
    <x:row r="45">
      <x:c r="A45" s="13" t="str">
        <x:v>cosmos1pkzj5fycpsgmpp2dnyjntj44sdym40erp6tapg</x:v>
      </x:c>
      <x:c r="B45" s="13" t="str">
        <x:v>Unconfirmed</x:v>
      </x:c>
      <x:c r="C45" s="13" t="str"/>
      <x:c r="D45" s="13" t="str">
        <x:v>behavioral_high</x:v>
      </x:c>
      <x:c r="E45" s="17" t="n">
        <x:v>89</x:v>
      </x:c>
      <x:c r="F45" s="17" t="n">
        <x:v>3</x:v>
      </x:c>
      <x:c r="G45" s="15" t="n">
        <x:v>3330.2312</x:v>
      </x:c>
      <x:c r="H45" s="15" t="n">
        <x:v>4564.569825</x:v>
      </x:c>
      <x:c r="I45" s="17" t="n">
        <x:v>9</x:v>
      </x:c>
      <x:c r="J45" s="17" t="n">
        <x:v>10</x:v>
      </x:c>
    </x:row>
    <x:row r="46">
      <x:c r="A46" s="13" t="str">
        <x:v>cosmos1s8z2rsu2gf8ntttcm8nqcpkkd3s8uwn89mgv5y</x:v>
      </x:c>
      <x:c r="B46" s="13" t="str">
        <x:v>Unconfirmed</x:v>
      </x:c>
      <x:c r="C46" s="13" t="str"/>
      <x:c r="D46" s="13" t="str">
        <x:v>behavioral_medium</x:v>
      </x:c>
      <x:c r="E46" s="17" t="n">
        <x:v>60</x:v>
      </x:c>
      <x:c r="F46" s="17" t="n">
        <x:v>3</x:v>
      </x:c>
      <x:c r="G46" s="15" t="n">
        <x:v>3112.698</x:v>
      </x:c>
      <x:c r="H46" s="15" t="n">
        <x:v>37299.18038</x:v>
      </x:c>
      <x:c r="I46" s="17" t="n">
        <x:v>10</x:v>
      </x:c>
      <x:c r="J46" s="17" t="n">
        <x:v>0</x:v>
      </x:c>
    </x:row>
    <x:row r="47">
      <x:c r="A47" s="13" t="str">
        <x:v>cosmos166aw4ect40p7hdh4tefqlj6cgv6llwjt65erwr</x:v>
      </x:c>
      <x:c r="B47" s="13" t="str">
        <x:v>Unconfirmed</x:v>
      </x:c>
      <x:c r="C47" s="13" t="str"/>
      <x:c r="D47" s="13" t="str">
        <x:v>behavioral_high</x:v>
      </x:c>
      <x:c r="E47" s="17" t="n">
        <x:v>88</x:v>
      </x:c>
      <x:c r="F47" s="17" t="n">
        <x:v>4</x:v>
      </x:c>
      <x:c r="G47" s="15" t="n">
        <x:v>2451.212704</x:v>
      </x:c>
      <x:c r="H47" s="15" t="n">
        <x:v>55055.771999</x:v>
      </x:c>
      <x:c r="I47" s="17" t="n">
        <x:v>13</x:v>
      </x:c>
      <x:c r="J47" s="17" t="n">
        <x:v>66</x:v>
      </x:c>
    </x:row>
    <x:row r="48">
      <x:c r="A48" s="13" t="str">
        <x:v>cosmos1y5y946murrtyfccc8u8ysslveh63vqfl7y97hc</x:v>
      </x:c>
      <x:c r="B48" s="13" t="str">
        <x:v>Unconfirmed</x:v>
      </x:c>
      <x:c r="C48" s="13" t="str"/>
      <x:c r="D48" s="13" t="str">
        <x:v>behavioral_high</x:v>
      </x:c>
      <x:c r="E48" s="17" t="n">
        <x:v>61</x:v>
      </x:c>
      <x:c r="F48" s="17" t="n">
        <x:v>1</x:v>
      </x:c>
      <x:c r="G48" s="15" t="n">
        <x:v>2305.92</x:v>
      </x:c>
      <x:c r="H48" s="15" t="n">
        <x:v>6855.388001</x:v>
      </x:c>
      <x:c r="I48" s="17" t="n">
        <x:v>4</x:v>
      </x:c>
      <x:c r="J48" s="17" t="n">
        <x:v>4</x:v>
      </x:c>
    </x:row>
    <x:row r="49">
      <x:c r="A49" s="13" t="str">
        <x:v>cosmos1qvu67akkzwfvtk2ytggranj4yc0dkuwdu507y8</x:v>
      </x:c>
      <x:c r="B49" s="13" t="str">
        <x:v>Unconfirmed</x:v>
      </x:c>
      <x:c r="C49" s="13" t="str"/>
      <x:c r="D49" s="13" t="str">
        <x:v>behavioral_medium</x:v>
      </x:c>
      <x:c r="E49" s="17" t="n">
        <x:v>60</x:v>
      </x:c>
      <x:c r="F49" s="17" t="n">
        <x:v>1</x:v>
      </x:c>
      <x:c r="G49" s="15" t="n">
        <x:v>2234</x:v>
      </x:c>
      <x:c r="H49" s="15" t="n">
        <x:v>10891.475731</x:v>
      </x:c>
      <x:c r="I49" s="17" t="n">
        <x:v>17</x:v>
      </x:c>
      <x:c r="J49" s="17" t="n">
        <x:v>0</x:v>
      </x:c>
    </x:row>
    <x:row r="50">
      <x:c r="A50" s="13" t="str">
        <x:v>cosmos1spm39dtap4454tutu7xctwgwqd3udstnaptrzw</x:v>
      </x:c>
      <x:c r="B50" s="13" t="str">
        <x:v>Unconfirmed</x:v>
      </x:c>
      <x:c r="C50" s="13" t="str"/>
      <x:c r="D50" s="13" t="str">
        <x:v>behavioral_high</x:v>
      </x:c>
      <x:c r="E50" s="17" t="n">
        <x:v>100</x:v>
      </x:c>
      <x:c r="F50" s="17" t="n">
        <x:v>5</x:v>
      </x:c>
      <x:c r="G50" s="15" t="n">
        <x:v>1988.677841</x:v>
      </x:c>
      <x:c r="H50" s="15" t="n">
        <x:v>25685.361</x:v>
      </x:c>
      <x:c r="I50" s="17" t="n">
        <x:v>21</x:v>
      </x:c>
      <x:c r="J50" s="17" t="n">
        <x:v>36</x:v>
      </x:c>
    </x:row>
    <x:row r="51">
      <x:c r="A51" s="13" t="str">
        <x:v>cosmos1tsn2dkvwwg7rdu0437uw0vfla9ujwj9cjsfw3f</x:v>
      </x:c>
      <x:c r="B51" s="13" t="str">
        <x:v>Unconfirmed</x:v>
      </x:c>
      <x:c r="C51" s="13" t="str"/>
      <x:c r="D51" s="13" t="str">
        <x:v>behavioral_high</x:v>
      </x:c>
      <x:c r="E51" s="17" t="n">
        <x:v>79</x:v>
      </x:c>
      <x:c r="F51" s="17" t="n">
        <x:v>2</x:v>
      </x:c>
      <x:c r="G51" s="15" t="n">
        <x:v>1643.88</x:v>
      </x:c>
      <x:c r="H51" s="15" t="n">
        <x:v>19319.748001</x:v>
      </x:c>
      <x:c r="I51" s="17" t="n">
        <x:v>8</x:v>
      </x:c>
      <x:c r="J51" s="17" t="n">
        <x:v>9</x:v>
      </x:c>
    </x:row>
  </x:sheetData>
  <x:conditionalFormatting sqref="E2:E51">
    <x:cfRule type="colorScale" priority="1">
      <x:colorScale>
        <x:cfvo type="min"/>
        <x:cfvo type="percentile" val="50"/>
        <x:cfvo type="max"/>
        <x:color rgb="FFFFF4DF"/>
        <x:color rgb="FFFDBA74"/>
        <x:color rgb="FFB91C1C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24" hidden="0" customWidth="1"/>
    <x:col min="3" max="3" width="11.779999732971191" hidden="0" customWidth="1"/>
    <x:col min="4" max="4" width="12.670000076293945" hidden="0" customWidth="1"/>
  </x:cols>
  <x:sheetData>
    <x:row r="1">
      <x:c r="A1" s="9" t="str">
        <x:v>Direction</x:v>
      </x:c>
      <x:c r="B1" s="10" t="str">
        <x:v>Counterparty chain hint</x:v>
      </x:c>
      <x:c r="C1" s="10" t="str">
        <x:v>Transfer count</x:v>
      </x:c>
      <x:c r="D1" s="11" t="str">
        <x:v>Amount (ATOM)</x:v>
      </x:c>
    </x:row>
    <x:row r="2">
      <x:c r="A2" s="12" t="str">
        <x:v>inbound</x:v>
      </x:c>
      <x:c r="B2" s="12" t="str">
        <x:v>osmo</x:v>
      </x:c>
      <x:c r="C2" s="16" t="n">
        <x:v>7222</x:v>
      </x:c>
      <x:c r="D2" s="14" t="n">
        <x:v>1863073.554366</x:v>
      </x:c>
    </x:row>
    <x:row r="3">
      <x:c r="A3" s="13" t="str">
        <x:v>outbound</x:v>
      </x:c>
      <x:c r="B3" s="13" t="str">
        <x:v>osmo</x:v>
      </x:c>
      <x:c r="C3" s="17" t="n">
        <x:v>8601</x:v>
      </x:c>
      <x:c r="D3" s="15" t="n">
        <x:v>1656093.641481</x:v>
      </x:c>
    </x:row>
    <x:row r="4">
      <x:c r="A4" s="13" t="str">
        <x:v>inbound</x:v>
      </x:c>
      <x:c r="B4" s="13" t="str">
        <x:v>neutron</x:v>
      </x:c>
      <x:c r="C4" s="17" t="n">
        <x:v>2024</x:v>
      </x:c>
      <x:c r="D4" s="15" t="n">
        <x:v>618131.237652</x:v>
      </x:c>
    </x:row>
    <x:row r="5">
      <x:c r="A5" s="13" t="str">
        <x:v>outbound</x:v>
      </x:c>
      <x:c r="B5" s="13" t="str">
        <x:v>neutron</x:v>
      </x:c>
      <x:c r="C5" s="17" t="n">
        <x:v>2242</x:v>
      </x:c>
      <x:c r="D5" s="15" t="n">
        <x:v>432798.684171</x:v>
      </x:c>
    </x:row>
    <x:row r="6">
      <x:c r="A6" s="13" t="str">
        <x:v>inbound</x:v>
      </x:c>
      <x:c r="B6" s="13" t="str">
        <x:v>kava</x:v>
      </x:c>
      <x:c r="C6" s="17" t="n">
        <x:v>204</x:v>
      </x:c>
      <x:c r="D6" s="15" t="n">
        <x:v>83745.392048</x:v>
      </x:c>
    </x:row>
    <x:row r="7">
      <x:c r="A7" s="13" t="str">
        <x:v>outbound</x:v>
      </x:c>
      <x:c r="B7" s="13" t="str">
        <x:v>kava</x:v>
      </x:c>
      <x:c r="C7" s="17" t="n">
        <x:v>172</x:v>
      </x:c>
      <x:c r="D7" s="15" t="n">
        <x:v>34170.830594</x:v>
      </x:c>
    </x:row>
    <x:row r="8">
      <x:c r="A8" s="13" t="str">
        <x:v>inbound</x:v>
      </x:c>
      <x:c r="B8" s="13" t="str">
        <x:v>stride</x:v>
      </x:c>
      <x:c r="C8" s="17" t="n">
        <x:v>35</x:v>
      </x:c>
      <x:c r="D8" s="15" t="n">
        <x:v>33868.88614</x:v>
      </x:c>
    </x:row>
    <x:row r="9">
      <x:c r="A9" s="13" t="str">
        <x:v>inbound</x:v>
      </x:c>
      <x:c r="B9" s="13" t="str">
        <x:v>inj</x:v>
      </x:c>
      <x:c r="C9" s="17" t="n">
        <x:v>558</x:v>
      </x:c>
      <x:c r="D9" s="15" t="n">
        <x:v>32122.483968</x:v>
      </x:c>
    </x:row>
    <x:row r="10">
      <x:c r="A10" s="13" t="str">
        <x:v>outbound</x:v>
      </x:c>
      <x:c r="B10" s="13" t="str">
        <x:v>stride</x:v>
      </x:c>
      <x:c r="C10" s="17" t="n">
        <x:v>53</x:v>
      </x:c>
      <x:c r="D10" s="15" t="n">
        <x:v>30287.962114</x:v>
      </x:c>
    </x:row>
    <x:row r="11">
      <x:c r="A11" s="13" t="str">
        <x:v>outbound</x:v>
      </x:c>
      <x:c r="B11" s="13" t="str">
        <x:v>inj</x:v>
      </x:c>
      <x:c r="C11" s="17" t="n">
        <x:v>430</x:v>
      </x:c>
      <x:c r="D11" s="15" t="n">
        <x:v>21675.815237</x:v>
      </x:c>
    </x:row>
    <x:row r="12">
      <x:c r="A12" s="13" t="str">
        <x:v>inbound</x:v>
      </x:c>
      <x:c r="B12" s="13" t="str">
        <x:v>terra</x:v>
      </x:c>
      <x:c r="C12" s="17" t="n">
        <x:v>497</x:v>
      </x:c>
      <x:c r="D12" s="15" t="n">
        <x:v>20924.029445</x:v>
      </x:c>
    </x:row>
    <x:row r="13">
      <x:c r="A13" s="13" t="str">
        <x:v>outbound</x:v>
      </x:c>
      <x:c r="B13" s="13" t="str">
        <x:v>tnam</x:v>
      </x:c>
      <x:c r="C13" s="17" t="n">
        <x:v>13</x:v>
      </x:c>
      <x:c r="D13" s="15" t="n">
        <x:v>17351.454509</x:v>
      </x:c>
    </x:row>
    <x:row r="14">
      <x:c r="A14" s="13" t="str">
        <x:v>outbound</x:v>
      </x:c>
      <x:c r="B14" s="13" t="str">
        <x:v>elys</x:v>
      </x:c>
      <x:c r="C14" s="17" t="n">
        <x:v>694</x:v>
      </x:c>
      <x:c r="D14" s="15" t="n">
        <x:v>17040.205603</x:v>
      </x:c>
    </x:row>
    <x:row r="15">
      <x:c r="A15" s="13" t="str">
        <x:v>inbound</x:v>
      </x:c>
      <x:c r="B15" s="13" t="str">
        <x:v>elys</x:v>
      </x:c>
      <x:c r="C15" s="17" t="n">
        <x:v>647</x:v>
      </x:c>
      <x:c r="D15" s="15" t="n">
        <x:v>16971.785506</x:v>
      </x:c>
    </x:row>
    <x:row r="16">
      <x:c r="A16" s="13" t="str">
        <x:v>outbound</x:v>
      </x:c>
      <x:c r="B16" s="13" t="str">
        <x:v>crc</x:v>
      </x:c>
      <x:c r="C16" s="17" t="n">
        <x:v>75</x:v>
      </x:c>
      <x:c r="D16" s="15" t="n">
        <x:v>16931.519966</x:v>
      </x:c>
    </x:row>
    <x:row r="17">
      <x:c r="A17" s="13" t="str">
        <x:v>inbound</x:v>
      </x:c>
      <x:c r="B17" s="13" t="str">
        <x:v>tnam</x:v>
      </x:c>
      <x:c r="C17" s="17" t="n">
        <x:v>9</x:v>
      </x:c>
      <x:c r="D17" s="15" t="n">
        <x:v>16829.4</x:v>
      </x:c>
    </x:row>
    <x:row r="18">
      <x:c r="A18" s="13" t="str">
        <x:v>inbound</x:v>
      </x:c>
      <x:c r="B18" s="13" t="str">
        <x:v>crc</x:v>
      </x:c>
      <x:c r="C18" s="17" t="n">
        <x:v>56</x:v>
      </x:c>
      <x:c r="D18" s="15" t="n">
        <x:v>16481.164214</x:v>
      </x:c>
    </x:row>
    <x:row r="19">
      <x:c r="A19" s="13" t="str">
        <x:v>inbound</x:v>
      </x:c>
      <x:c r="B19" s="13" t="str">
        <x:v>umee</x:v>
      </x:c>
      <x:c r="C19" s="17" t="n">
        <x:v>104</x:v>
      </x:c>
      <x:c r="D19" s="15" t="n">
        <x:v>15878.238759</x:v>
      </x:c>
    </x:row>
    <x:row r="20">
      <x:c r="A20" s="13" t="str">
        <x:v>outbound</x:v>
      </x:c>
      <x:c r="B20" s="13" t="str">
        <x:v>pryzm</x:v>
      </x:c>
      <x:c r="C20" s="17" t="n">
        <x:v>238</x:v>
      </x:c>
      <x:c r="D20" s="15" t="n">
        <x:v>15469.01687</x:v>
      </x:c>
    </x:row>
    <x:row r="21">
      <x:c r="A21" s="13" t="str">
        <x:v>outbound</x:v>
      </x:c>
      <x:c r="B21" s="13" t="str">
        <x:v>archway</x:v>
      </x:c>
      <x:c r="C21" s="17" t="n">
        <x:v>153</x:v>
      </x:c>
      <x:c r="D21" s="15" t="n">
        <x:v>14487.769944</x:v>
      </x:c>
    </x:row>
    <x:row r="22">
      <x:c r="A22" s="13" t="str">
        <x:v>inbound</x:v>
      </x:c>
      <x:c r="B22" s="13" t="str">
        <x:v>secret</x:v>
      </x:c>
      <x:c r="C22" s="17" t="n">
        <x:v>141</x:v>
      </x:c>
      <x:c r="D22" s="15" t="n">
        <x:v>13335.010523</x:v>
      </x:c>
    </x:row>
    <x:row r="23">
      <x:c r="A23" s="13" t="str">
        <x:v>outbound</x:v>
      </x:c>
      <x:c r="B23" s="13" t="str">
        <x:v>terra</x:v>
      </x:c>
      <x:c r="C23" s="17" t="n">
        <x:v>569</x:v>
      </x:c>
      <x:c r="D23" s="15" t="n">
        <x:v>13333.138558</x:v>
      </x:c>
    </x:row>
    <x:row r="24">
      <x:c r="A24" s="13" t="str">
        <x:v>inbound</x:v>
      </x:c>
      <x:c r="B24" s="13" t="str">
        <x:v>archway</x:v>
      </x:c>
      <x:c r="C24" s="17" t="n">
        <x:v>111</x:v>
      </x:c>
      <x:c r="D24" s="15" t="n">
        <x:v>13104.419796</x:v>
      </x:c>
    </x:row>
    <x:row r="25">
      <x:c r="A25" s="13" t="str">
        <x:v>outbound</x:v>
      </x:c>
      <x:c r="B25" s="13" t="str">
        <x:v>secret</x:v>
      </x:c>
      <x:c r="C25" s="17" t="n">
        <x:v>92</x:v>
      </x:c>
      <x:c r="D25" s="15" t="n">
        <x:v>10694.806318</x:v>
      </x:c>
    </x:row>
    <x:row r="26">
      <x:c r="A26" s="13" t="str">
        <x:v>outbound</x:v>
      </x:c>
      <x:c r="B26" s="13" t="str">
        <x:v>juno</x:v>
      </x:c>
      <x:c r="C26" s="17" t="n">
        <x:v>95</x:v>
      </x:c>
      <x:c r="D26" s="15" t="n">
        <x:v>9994.601582</x:v>
      </x:c>
    </x:row>
    <x:row r="27">
      <x:c r="A27" s="13" t="str">
        <x:v>outbound</x:v>
      </x:c>
      <x:c r="B27" s="13" t="str">
        <x:v>persistence</x:v>
      </x:c>
      <x:c r="C27" s="17" t="n">
        <x:v>256</x:v>
      </x:c>
      <x:c r="D27" s="15" t="n">
        <x:v>9848.527508</x:v>
      </x:c>
    </x:row>
    <x:row r="28">
      <x:c r="A28" s="13" t="str">
        <x:v>inbound</x:v>
      </x:c>
      <x:c r="B28" s="13" t="str">
        <x:v>juno</x:v>
      </x:c>
      <x:c r="C28" s="17" t="n">
        <x:v>308</x:v>
      </x:c>
      <x:c r="D28" s="15" t="n">
        <x:v>9452.390014</x:v>
      </x:c>
    </x:row>
    <x:row r="29">
      <x:c r="A29" s="13" t="str">
        <x:v>inbound</x:v>
      </x:c>
      <x:c r="B29" s="13" t="str">
        <x:v>persistence</x:v>
      </x:c>
      <x:c r="C29" s="17" t="n">
        <x:v>311</x:v>
      </x:c>
      <x:c r="D29" s="15" t="n">
        <x:v>8337.284346</x:v>
      </x:c>
    </x:row>
    <x:row r="30">
      <x:c r="A30" s="13" t="str">
        <x:v>inbound</x:v>
      </x:c>
      <x:c r="B30" s="13" t="str">
        <x:v>pryzm</x:v>
      </x:c>
      <x:c r="C30" s="17" t="n">
        <x:v>165</x:v>
      </x:c>
      <x:c r="D30" s="15" t="n">
        <x:v>7571.454598</x:v>
      </x:c>
    </x:row>
    <x:row r="31">
      <x:c r="A31" s="13" t="str">
        <x:v>outbound</x:v>
      </x:c>
      <x:c r="B31" s="13" t="str">
        <x:v>mantra</x:v>
      </x:c>
      <x:c r="C31" s="17" t="n">
        <x:v>290</x:v>
      </x:c>
      <x:c r="D31" s="15" t="n">
        <x:v>7210.963162</x:v>
      </x:c>
    </x:row>
    <x:row r="32">
      <x:c r="A32" s="13" t="str">
        <x:v>outbound</x:v>
      </x:c>
      <x:c r="B32" s="13" t="str">
        <x:v>stars</x:v>
      </x:c>
      <x:c r="C32" s="17" t="n">
        <x:v>166</x:v>
      </x:c>
      <x:c r="D32" s="15" t="n">
        <x:v>6863.974689</x:v>
      </x:c>
    </x:row>
    <x:row r="33">
      <x:c r="A33" s="13" t="str">
        <x:v>inbound</x:v>
      </x:c>
      <x:c r="B33" s="13" t="str">
        <x:v>mantra</x:v>
      </x:c>
      <x:c r="C33" s="17" t="n">
        <x:v>268</x:v>
      </x:c>
      <x:c r="D33" s="15" t="n">
        <x:v>6111.908133</x:v>
      </x:c>
    </x:row>
    <x:row r="34">
      <x:c r="A34" s="13" t="str">
        <x:v>outbound</x:v>
      </x:c>
      <x:c r="B34" s="13" t="str">
        <x:v>orai</x:v>
      </x:c>
      <x:c r="C34" s="17" t="n">
        <x:v>102</x:v>
      </x:c>
      <x:c r="D34" s="15" t="n">
        <x:v>4639.055289</x:v>
      </x:c>
    </x:row>
    <x:row r="35">
      <x:c r="A35" s="13" t="str">
        <x:v>outbound</x:v>
      </x:c>
      <x:c r="B35" s="13" t="str">
        <x:v>umee</x:v>
      </x:c>
      <x:c r="C35" s="17" t="n">
        <x:v>37</x:v>
      </x:c>
      <x:c r="D35" s="15" t="n">
        <x:v>3816.10378</x:v>
      </x:c>
    </x:row>
    <x:row r="36">
      <x:c r="A36" s="13" t="str">
        <x:v>inbound</x:v>
      </x:c>
      <x:c r="B36" s="13" t="str">
        <x:v>orai</x:v>
      </x:c>
      <x:c r="C36" s="17" t="n">
        <x:v>113</x:v>
      </x:c>
      <x:c r="D36" s="15" t="n">
        <x:v>3722.388134</x:v>
      </x:c>
    </x:row>
    <x:row r="37">
      <x:c r="A37" s="13" t="str">
        <x:v>inbound</x:v>
      </x:c>
      <x:c r="B37" s="13" t="str">
        <x:v>stars</x:v>
      </x:c>
      <x:c r="C37" s="17" t="n">
        <x:v>144</x:v>
      </x:c>
      <x:c r="D37" s="15" t="n">
        <x:v>3211.941858</x:v>
      </x:c>
    </x:row>
    <x:row r="38">
      <x:c r="A38" s="13" t="str">
        <x:v>outbound</x:v>
      </x:c>
      <x:c r="B38" s="13" t="str">
        <x:v>dungeon</x:v>
      </x:c>
      <x:c r="C38" s="17" t="n">
        <x:v>10</x:v>
      </x:c>
      <x:c r="D38" s="15" t="n">
        <x:v>2283.078817</x:v>
      </x:c>
    </x:row>
    <x:row r="39">
      <x:c r="A39" s="13" t="str">
        <x:v>inbound</x:v>
      </x:c>
      <x:c r="B39" s="13" t="str">
        <x:v>dym</x:v>
      </x:c>
      <x:c r="C39" s="17" t="n">
        <x:v>157</x:v>
      </x:c>
      <x:c r="D39" s="15" t="n">
        <x:v>1939.075856</x:v>
      </x:c>
    </x:row>
    <x:row r="40">
      <x:c r="A40" s="13" t="str">
        <x:v>outbound</x:v>
      </x:c>
      <x:c r="B40" s="13" t="str">
        <x:v>dym</x:v>
      </x:c>
      <x:c r="C40" s="17" t="n">
        <x:v>134</x:v>
      </x:c>
      <x:c r="D40" s="15" t="n">
        <x:v>1754.466966</x:v>
      </x:c>
    </x:row>
    <x:row r="41">
      <x:c r="A41" s="13" t="str">
        <x:v>outbound</x:v>
      </x:c>
      <x:c r="B41" s="13" t="str">
        <x:v>core</x:v>
      </x:c>
      <x:c r="C41" s="17" t="n">
        <x:v>130</x:v>
      </x:c>
      <x:c r="D41" s="15" t="n">
        <x:v>946.898435</x:v>
      </x:c>
    </x:row>
    <x:row r="42">
      <x:c r="A42" s="13" t="str">
        <x:v>inbound</x:v>
      </x:c>
      <x:c r="B42" s="13" t="str">
        <x:v>core</x:v>
      </x:c>
      <x:c r="C42" s="17" t="n">
        <x:v>89</x:v>
      </x:c>
      <x:c r="D42" s="15" t="n">
        <x:v>844.762896</x:v>
      </x:c>
    </x:row>
    <x:row r="43">
      <x:c r="A43" s="13" t="str">
        <x:v>outbound</x:v>
      </x:c>
      <x:c r="B43" s="13" t="str">
        <x:v>sunrise</x:v>
      </x:c>
      <x:c r="C43" s="17" t="n">
        <x:v>66</x:v>
      </x:c>
      <x:c r="D43" s="15" t="n">
        <x:v>727.012828</x:v>
      </x:c>
    </x:row>
    <x:row r="44">
      <x:c r="A44" s="13" t="str">
        <x:v>inbound</x:v>
      </x:c>
      <x:c r="B44" s="13" t="str">
        <x:v>sunrise</x:v>
      </x:c>
      <x:c r="C44" s="17" t="n">
        <x:v>66</x:v>
      </x:c>
      <x:c r="D44" s="15" t="n">
        <x:v>669.193684</x:v>
      </x:c>
    </x:row>
    <x:row r="45">
      <x:c r="A45" s="13" t="str">
        <x:v>inbound</x:v>
      </x:c>
      <x:c r="B45" s="13" t="str">
        <x:v>canto</x:v>
      </x:c>
      <x:c r="C45" s="17" t="n">
        <x:v>2</x:v>
      </x:c>
      <x:c r="D45" s="15" t="n">
        <x:v>460.707278</x:v>
      </x:c>
    </x:row>
    <x:row r="46">
      <x:c r="A46" s="13" t="str">
        <x:v>inbound</x:v>
      </x:c>
      <x:c r="B46" s="13" t="str">
        <x:v>dora</x:v>
      </x:c>
      <x:c r="C46" s="17" t="n">
        <x:v>2</x:v>
      </x:c>
      <x:c r="D46" s="15" t="n">
        <x:v>286.01452</x:v>
      </x:c>
    </x:row>
    <x:row r="47">
      <x:c r="A47" s="13" t="str">
        <x:v>inbound</x:v>
      </x:c>
      <x:c r="B47" s="13" t="str">
        <x:v>unknown</x:v>
      </x:c>
      <x:c r="C47" s="17" t="n">
        <x:v>3</x:v>
      </x:c>
      <x:c r="D47" s="15" t="n">
        <x:v>233.337629</x:v>
      </x:c>
    </x:row>
    <x:row r="48">
      <x:c r="A48" s="13" t="str">
        <x:v>outbound</x:v>
      </x:c>
      <x:c r="B48" s="13" t="str">
        <x:v>kujira</x:v>
      </x:c>
      <x:c r="C48" s="17" t="n">
        <x:v>10</x:v>
      </x:c>
      <x:c r="D48" s="15" t="n">
        <x:v>126.872928</x:v>
      </x:c>
    </x:row>
    <x:row r="49">
      <x:c r="A49" s="13" t="str">
        <x:v>inbound</x:v>
      </x:c>
      <x:c r="B49" s="13" t="str">
        <x:v>sei</x:v>
      </x:c>
      <x:c r="C49" s="17" t="n">
        <x:v>1</x:v>
      </x:c>
      <x:c r="D49" s="15" t="n">
        <x:v>101</x:v>
      </x:c>
    </x:row>
    <x:row r="50">
      <x:c r="A50" s="13" t="str">
        <x:v>inbound</x:v>
      </x:c>
      <x:c r="B50" s="13" t="str">
        <x:v>kujira</x:v>
      </x:c>
      <x:c r="C50" s="17" t="n">
        <x:v>13</x:v>
      </x:c>
      <x:c r="D50" s="15" t="n">
        <x:v>89.627166</x:v>
      </x:c>
    </x:row>
    <x:row r="51">
      <x:c r="A51" s="13" t="str">
        <x:v>inbound</x:v>
      </x:c>
      <x:c r="B51" s="13" t="str">
        <x:v>dungeon</x:v>
      </x:c>
      <x:c r="C51" s="17" t="n">
        <x:v>9</x:v>
      </x:c>
      <x:c r="D51" s="15" t="n">
        <x:v>80.598954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>
      <x:c r="A1" s="9" t="str">
        <x:v>UTC</x:v>
      </x:c>
      <x:c r="B1" s="10" t="str">
        <x:v>Confirmed CEX in</x:v>
      </x:c>
      <x:c r="C1" s="10" t="str">
        <x:v>Confirmed CEX out</x:v>
      </x:c>
      <x:c r="D1" s="10" t="str">
        <x:v>Structured candidate in</x:v>
      </x:c>
      <x:c r="E1" s="10" t="str">
        <x:v>Large-flow watchlist</x:v>
      </x:c>
      <x:c r="F1" s="10" t="str">
        <x:v>IBC inbound</x:v>
      </x:c>
      <x:c r="G1" s="11" t="str">
        <x:v>IBC outbound</x:v>
      </x:c>
    </x:row>
    <x:row r="2">
      <x:c r="A2" s="12" t="str">
        <x:v>20:30</x:v>
      </x:c>
      <x:c r="B2" s="14" t="n">
        <x:v>1087.448925</x:v>
      </x:c>
      <x:c r="C2" s="14" t="n">
        <x:v>0.95</x:v>
      </x:c>
      <x:c r="D2" s="14" t="n">
        <x:v>10101.508637</x:v>
      </x:c>
      <x:c r="E2" s="14" t="n">
        <x:v>2922.359994</x:v>
      </x:c>
      <x:c r="F2" s="14" t="n">
        <x:v>195.770794</x:v>
      </x:c>
      <x:c r="G2" s="14" t="n">
        <x:v>95.266701</x:v>
      </x:c>
    </x:row>
    <x:row r="3">
      <x:c r="A3" s="13" t="str">
        <x:v>20:35</x:v>
      </x:c>
      <x:c r="B3" s="15" t="n">
        <x:v>90.147182</x:v>
      </x:c>
      <x:c r="C3" s="15" t="n">
        <x:v>852.682293</x:v>
      </x:c>
      <x:c r="D3" s="15" t="n">
        <x:v>480.102049</x:v>
      </x:c>
      <x:c r="E3" s="15" t="n">
        <x:v>852.682293</x:v>
      </x:c>
      <x:c r="F3" s="15" t="n">
        <x:v>4237.321482</x:v>
      </x:c>
      <x:c r="G3" s="15" t="n">
        <x:v>4245.963729</x:v>
      </x:c>
    </x:row>
    <x:row r="4">
      <x:c r="A4" s="13" t="str">
        <x:v>20:40</x:v>
      </x:c>
      <x:c r="B4" s="15" t="n">
        <x:v>17.213253</x:v>
      </x:c>
      <x:c r="C4" s="15" t="n">
        <x:v>2.76</x:v>
      </x:c>
      <x:c r="D4" s="15" t="n">
        <x:v>5445.757793</x:v>
      </x:c>
      <x:c r="E4" s="15" t="n">
        <x:v>656.771395</x:v>
      </x:c>
      <x:c r="F4" s="15" t="n">
        <x:v>229.041397</x:v>
      </x:c>
      <x:c r="G4" s="15" t="n">
        <x:v>236.59591</x:v>
      </x:c>
    </x:row>
    <x:row r="5">
      <x:c r="A5" s="13" t="str">
        <x:v>20:45</x:v>
      </x:c>
      <x:c r="B5" s="15" t="n">
        <x:v>265.85</x:v>
      </x:c>
      <x:c r="C5" s="15" t="n">
        <x:v>65.847</x:v>
      </x:c>
      <x:c r="D5" s="15" t="n">
        <x:v>5088.169383</x:v>
      </x:c>
      <x:c r="E5" s="15" t="n">
        <x:v>14026.837</x:v>
      </x:c>
      <x:c r="F5" s="15" t="n">
        <x:v>38.783366</x:v>
      </x:c>
      <x:c r="G5" s="15" t="n">
        <x:v>28.567608</x:v>
      </x:c>
    </x:row>
    <x:row r="6">
      <x:c r="A6" s="13" t="str">
        <x:v>20:50</x:v>
      </x:c>
      <x:c r="B6" s="15" t="n">
        <x:v>559.485714</x:v>
      </x:c>
      <x:c r="C6" s="15" t="n">
        <x:v>168.488297</x:v>
      </x:c>
      <x:c r="D6" s="15" t="n">
        <x:v>9309.557894</x:v>
      </x:c>
      <x:c r="E6" s="15" t="n">
        <x:v>17405.33169</x:v>
      </x:c>
      <x:c r="F6" s="15" t="n">
        <x:v>609.893339</x:v>
      </x:c>
      <x:c r="G6" s="15" t="n">
        <x:v>18030.995566</x:v>
      </x:c>
    </x:row>
    <x:row r="7">
      <x:c r="A7" s="13" t="str">
        <x:v>20:55</x:v>
      </x:c>
      <x:c r="B7" s="15" t="n">
        <x:v>3488.67</x:v>
      </x:c>
      <x:c r="C7" s="15" t="n">
        <x:v>3181.157714</x:v>
      </x:c>
      <x:c r="D7" s="15" t="n">
        <x:v>34856.438615</x:v>
      </x:c>
      <x:c r="E7" s="15" t="n">
        <x:v>18548.692714</x:v>
      </x:c>
      <x:c r="F7" s="15" t="n">
        <x:v>2331.596812</x:v>
      </x:c>
      <x:c r="G7" s="15" t="n">
        <x:v>10262.572736</x:v>
      </x:c>
    </x:row>
    <x:row r="8">
      <x:c r="A8" s="13" t="str">
        <x:v>21:00</x:v>
      </x:c>
      <x:c r="B8" s="15" t="n">
        <x:v>5045.760328</x:v>
      </x:c>
      <x:c r="C8" s="15" t="n">
        <x:v>0</x:v>
      </x:c>
      <x:c r="D8" s="15" t="n">
        <x:v>76918.459574</x:v>
      </x:c>
      <x:c r="E8" s="15" t="n">
        <x:v>135945.547092</x:v>
      </x:c>
      <x:c r="F8" s="15" t="n">
        <x:v>1555.34717</x:v>
      </x:c>
      <x:c r="G8" s="15" t="n">
        <x:v>8168.556936</x:v>
      </x:c>
    </x:row>
    <x:row r="9">
      <x:c r="A9" s="13" t="str">
        <x:v>21:05</x:v>
      </x:c>
      <x:c r="B9" s="15" t="n">
        <x:v>1236.868748</x:v>
      </x:c>
      <x:c r="C9" s="15" t="n">
        <x:v>6953.578182</x:v>
      </x:c>
      <x:c r="D9" s="15" t="n">
        <x:v>54551.886753</x:v>
      </x:c>
      <x:c r="E9" s="15" t="n">
        <x:v>10428.593182</x:v>
      </x:c>
      <x:c r="F9" s="15" t="n">
        <x:v>6507.979473</x:v>
      </x:c>
      <x:c r="G9" s="15" t="n">
        <x:v>7174.933471</x:v>
      </x:c>
    </x:row>
    <x:row r="10">
      <x:c r="A10" s="13" t="str">
        <x:v>21:10</x:v>
      </x:c>
      <x:c r="B10" s="15" t="n">
        <x:v>3602.159926</x:v>
      </x:c>
      <x:c r="C10" s="15" t="n">
        <x:v>147.535</x:v>
      </x:c>
      <x:c r="D10" s="15" t="n">
        <x:v>44112.138653</x:v>
      </x:c>
      <x:c r="E10" s="15" t="n">
        <x:v>11768.584296</x:v>
      </x:c>
      <x:c r="F10" s="15" t="n">
        <x:v>817.792355</x:v>
      </x:c>
      <x:c r="G10" s="15" t="n">
        <x:v>6863.593422</x:v>
      </x:c>
    </x:row>
    <x:row r="11">
      <x:c r="A11" s="13" t="str">
        <x:v>21:15</x:v>
      </x:c>
      <x:c r="B11" s="15" t="n">
        <x:v>9110.730088</x:v>
      </x:c>
      <x:c r="C11" s="15" t="n">
        <x:v>10924.899496</x:v>
      </x:c>
      <x:c r="D11" s="15" t="n">
        <x:v>81626.705056</x:v>
      </x:c>
      <x:c r="E11" s="15" t="n">
        <x:v>22062.7939</x:v>
      </x:c>
      <x:c r="F11" s="15" t="n">
        <x:v>5612.214417</x:v>
      </x:c>
      <x:c r="G11" s="15" t="n">
        <x:v>16358.412237</x:v>
      </x:c>
    </x:row>
    <x:row r="12">
      <x:c r="A12" s="13" t="str">
        <x:v>21:20</x:v>
      </x:c>
      <x:c r="B12" s="15" t="n">
        <x:v>7420.717359</x:v>
      </x:c>
      <x:c r="C12" s="15" t="n">
        <x:v>1508.895</x:v>
      </x:c>
      <x:c r="D12" s="15" t="n">
        <x:v>30809.417943</x:v>
      </x:c>
      <x:c r="E12" s="15" t="n">
        <x:v>16054.78977</x:v>
      </x:c>
      <x:c r="F12" s="15" t="n">
        <x:v>3598.196384</x:v>
      </x:c>
      <x:c r="G12" s="15" t="n">
        <x:v>7726.566827</x:v>
      </x:c>
    </x:row>
    <x:row r="13">
      <x:c r="A13" s="13" t="str">
        <x:v>21:25</x:v>
      </x:c>
      <x:c r="B13" s="15" t="n">
        <x:v>4451.214355</x:v>
      </x:c>
      <x:c r="C13" s="15" t="n">
        <x:v>10006.904977</x:v>
      </x:c>
      <x:c r="D13" s="15" t="n">
        <x:v>29432.014265</x:v>
      </x:c>
      <x:c r="E13" s="15" t="n">
        <x:v>23906.967091</x:v>
      </x:c>
      <x:c r="F13" s="15" t="n">
        <x:v>8621.196615</x:v>
      </x:c>
      <x:c r="G13" s="15" t="n">
        <x:v>6538.921648</x:v>
      </x:c>
    </x:row>
    <x:row r="14">
      <x:c r="A14" s="13" t="str">
        <x:v>21:30</x:v>
      </x:c>
      <x:c r="B14" s="15" t="n">
        <x:v>2772.414</x:v>
      </x:c>
      <x:c r="C14" s="15" t="n">
        <x:v>2000</x:v>
      </x:c>
      <x:c r="D14" s="15" t="n">
        <x:v>23340.905448</x:v>
      </x:c>
      <x:c r="E14" s="15" t="n">
        <x:v>7768.957</x:v>
      </x:c>
      <x:c r="F14" s="15" t="n">
        <x:v>3296.397103</x:v>
      </x:c>
      <x:c r="G14" s="15" t="n">
        <x:v>5118.538206</x:v>
      </x:c>
    </x:row>
    <x:row r="15">
      <x:c r="A15" s="13" t="str">
        <x:v>21:35</x:v>
      </x:c>
      <x:c r="B15" s="15" t="n">
        <x:v>1367.202753</x:v>
      </x:c>
      <x:c r="C15" s="15" t="n">
        <x:v>7009.663902</x:v>
      </x:c>
      <x:c r="D15" s="15" t="n">
        <x:v>2347.661488</x:v>
      </x:c>
      <x:c r="E15" s="15" t="n">
        <x:v>9353.378996</x:v>
      </x:c>
      <x:c r="F15" s="15" t="n">
        <x:v>5384.670525</x:v>
      </x:c>
      <x:c r="G15" s="15" t="n">
        <x:v>6015.169303</x:v>
      </x:c>
    </x:row>
    <x:row r="16">
      <x:c r="A16" s="13" t="str">
        <x:v>21:40</x:v>
      </x:c>
      <x:c r="B16" s="15" t="n">
        <x:v>8909.731982</x:v>
      </x:c>
      <x:c r="C16" s="15" t="n">
        <x:v>13762.135774</x:v>
      </x:c>
      <x:c r="D16" s="15" t="n">
        <x:v>18797.705719</x:v>
      </x:c>
      <x:c r="E16" s="15" t="n">
        <x:v>33832.830655</x:v>
      </x:c>
      <x:c r="F16" s="15" t="n">
        <x:v>8426.382765</x:v>
      </x:c>
      <x:c r="G16" s="15" t="n">
        <x:v>177608.655554</x:v>
      </x:c>
    </x:row>
    <x:row r="17">
      <x:c r="A17" s="13" t="str">
        <x:v>21:45</x:v>
      </x:c>
      <x:c r="B17" s="15" t="n">
        <x:v>15437.609084</x:v>
      </x:c>
      <x:c r="C17" s="15" t="n">
        <x:v>16885.170567</x:v>
      </x:c>
      <x:c r="D17" s="15" t="n">
        <x:v>109539.750679</x:v>
      </x:c>
      <x:c r="E17" s="15" t="n">
        <x:v>65165.91581</x:v>
      </x:c>
      <x:c r="F17" s="15" t="n">
        <x:v>3871.593394</x:v>
      </x:c>
      <x:c r="G17" s="15" t="n">
        <x:v>15959.732223</x:v>
      </x:c>
    </x:row>
    <x:row r="18">
      <x:c r="A18" s="13" t="str">
        <x:v>21:50</x:v>
      </x:c>
      <x:c r="B18" s="15" t="n">
        <x:v>11456.151368</x:v>
      </x:c>
      <x:c r="C18" s="15" t="n">
        <x:v>7.34</x:v>
      </x:c>
      <x:c r="D18" s="15" t="n">
        <x:v>144252.342441</x:v>
      </x:c>
      <x:c r="E18" s="15" t="n">
        <x:v>21616.660421</x:v>
      </x:c>
      <x:c r="F18" s="15" t="n">
        <x:v>11135.125917</x:v>
      </x:c>
      <x:c r="G18" s="15" t="n">
        <x:v>13848.004441</x:v>
      </x:c>
    </x:row>
    <x:row r="19">
      <x:c r="A19" s="13" t="str">
        <x:v>21:55</x:v>
      </x:c>
      <x:c r="B19" s="15" t="n">
        <x:v>15901.77804</x:v>
      </x:c>
      <x:c r="C19" s="15" t="n">
        <x:v>28043.830036</x:v>
      </x:c>
      <x:c r="D19" s="15" t="n">
        <x:v>78008.374085</x:v>
      </x:c>
      <x:c r="E19" s="15" t="n">
        <x:v>32198.141192</x:v>
      </x:c>
      <x:c r="F19" s="15" t="n">
        <x:v>26347.369779</x:v>
      </x:c>
      <x:c r="G19" s="15" t="n">
        <x:v>7087.066669</x:v>
      </x:c>
    </x:row>
    <x:row r="20">
      <x:c r="A20" s="13" t="str">
        <x:v>22:00</x:v>
      </x:c>
      <x:c r="B20" s="15" t="n">
        <x:v>5967.338</x:v>
      </x:c>
      <x:c r="C20" s="15" t="n">
        <x:v>0</x:v>
      </x:c>
      <x:c r="D20" s="15" t="n">
        <x:v>52702.897934</x:v>
      </x:c>
      <x:c r="E20" s="15" t="n">
        <x:v>183646.718952</x:v>
      </x:c>
      <x:c r="F20" s="15" t="n">
        <x:v>52953.40023</x:v>
      </x:c>
      <x:c r="G20" s="15" t="n">
        <x:v>41735.203032</x:v>
      </x:c>
    </x:row>
    <x:row r="21">
      <x:c r="A21" s="13" t="str">
        <x:v>22:05</x:v>
      </x:c>
      <x:c r="B21" s="15" t="n">
        <x:v>9645.415</x:v>
      </x:c>
      <x:c r="C21" s="15" t="n">
        <x:v>9454.387548</x:v>
      </x:c>
      <x:c r="D21" s="15" t="n">
        <x:v>58398.220896</x:v>
      </x:c>
      <x:c r="E21" s="15" t="n">
        <x:v>24647.116768</x:v>
      </x:c>
      <x:c r="F21" s="15" t="n">
        <x:v>18440.427598</x:v>
      </x:c>
      <x:c r="G21" s="15" t="n">
        <x:v>13378.144739</x:v>
      </x:c>
    </x:row>
    <x:row r="22">
      <x:c r="A22" s="13" t="str">
        <x:v>22:10</x:v>
      </x:c>
      <x:c r="B22" s="15" t="n">
        <x:v>5914.47895</x:v>
      </x:c>
      <x:c r="C22" s="15" t="n">
        <x:v>0</x:v>
      </x:c>
      <x:c r="D22" s="15" t="n">
        <x:v>88063.874382</x:v>
      </x:c>
      <x:c r="E22" s="15" t="n">
        <x:v>49375.476215</x:v>
      </x:c>
      <x:c r="F22" s="15" t="n">
        <x:v>21325.544102</x:v>
      </x:c>
      <x:c r="G22" s="15" t="n">
        <x:v>17759.415409</x:v>
      </x:c>
    </x:row>
    <x:row r="23">
      <x:c r="A23" s="13" t="str">
        <x:v>22:15</x:v>
      </x:c>
      <x:c r="B23" s="15" t="n">
        <x:v>5418.497434</x:v>
      </x:c>
      <x:c r="C23" s="15" t="n">
        <x:v>16590.748013</x:v>
      </x:c>
      <x:c r="D23" s="15" t="n">
        <x:v>132031.286168</x:v>
      </x:c>
      <x:c r="E23" s="15" t="n">
        <x:v>55082.028926</x:v>
      </x:c>
      <x:c r="F23" s="15" t="n">
        <x:v>22003.861795</x:v>
      </x:c>
      <x:c r="G23" s="15" t="n">
        <x:v>23736.432952</x:v>
      </x:c>
    </x:row>
    <x:row r="24">
      <x:c r="A24" s="13" t="str">
        <x:v>22:20</x:v>
      </x:c>
      <x:c r="B24" s="15" t="n">
        <x:v>64103.717476</x:v>
      </x:c>
      <x:c r="C24" s="15" t="n">
        <x:v>61310.368</x:v>
      </x:c>
      <x:c r="D24" s="15" t="n">
        <x:v>151146.348926</x:v>
      </x:c>
      <x:c r="E24" s="15" t="n">
        <x:v>265857.494406</x:v>
      </x:c>
      <x:c r="F24" s="15" t="n">
        <x:v>59523.015621</x:v>
      </x:c>
      <x:c r="G24" s="15" t="n">
        <x:v>26612.364726</x:v>
      </x:c>
    </x:row>
    <x:row r="25">
      <x:c r="A25" s="13" t="str">
        <x:v>22:25</x:v>
      </x:c>
      <x:c r="B25" s="15" t="n">
        <x:v>4782.820122</x:v>
      </x:c>
      <x:c r="C25" s="15" t="n">
        <x:v>6520.991057</x:v>
      </x:c>
      <x:c r="D25" s="15" t="n">
        <x:v>152638.252543</x:v>
      </x:c>
      <x:c r="E25" s="15" t="n">
        <x:v>78013.739143</x:v>
      </x:c>
      <x:c r="F25" s="15" t="n">
        <x:v>10925.050114</x:v>
      </x:c>
      <x:c r="G25" s="15" t="n">
        <x:v>16300.50426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90" hidden="0" customWidth="1"/>
  </x:cols>
  <x:sheetData>
    <x:row r="1">
      <x:c r="A1" s="9" t="str">
        <x:v>Item</x:v>
      </x:c>
      <x:c r="B1" s="10" t="str">
        <x:v>Definition / value</x:v>
      </x:c>
      <x:c r="C1" s="11" t="str">
        <x:v>Source</x:v>
      </x:c>
    </x:row>
    <x:row r="2">
      <x:c r="A2" s="50" t="str">
        <x:v>Study timestamp</x:v>
      </x:c>
      <x:c r="B2" s="50" t="str">
        <x:v>2025-10-10 21:20:37.689043 UTC</x:v>
      </x:c>
      <x:c r="C2" s="50" t="str">
        <x:v>results/cosmoshub_flow_analysis.json</x:v>
      </x:c>
    </x:row>
    <x:row r="3">
      <x:c r="A3" s="51" t="str">
        <x:v>Event window</x:v>
      </x:c>
      <x:c r="B3" s="51" t="str">
        <x:v>[2025-10-10T20:30:00Z, 2025-10-10T22:30:00Z)</x:v>
      </x:c>
      <x:c r="C3" s="51" t="str">
        <x:v>data/processed/cosmoshub/event_window_flows_2025-10-10_2030-2230_utc.jsonl.gz</x:v>
      </x:c>
    </x:row>
    <x:row r="4">
      <x:c r="A4" s="51" t="str">
        <x:v>ATOM transfers</x:v>
      </x:c>
      <x:c r="B4" s="51" t="str">
        <x:v>Successful uatom transfer events; classified by message type and msg_index</x:v>
      </x:c>
      <x:c r="C4" s="51" t="str">
        <x:v>data/processed/cosmoshub/atom_transfers_2025-10-09_2025-10-12.jsonl.gz</x:v>
      </x:c>
    </x:row>
    <x:row r="5">
      <x:c r="A5" s="51" t="str">
        <x:v>IBC transfers</x:v>
      </x:c>
      <x:c r="B5" s="51" t="str">
        <x:v>Successful ICS-20 send/receive packet data; inbound native ATOM recognized by */uatom path</x:v>
      </x:c>
      <x:c r="C5" s="51" t="str">
        <x:v>data/processed/cosmoshub/ibc_transfers_2025-10-09_2025-10-12.jsonl.gz</x:v>
      </x:c>
    </x:row>
    <x:row r="6">
      <x:c r="A6" s="51" t="str">
        <x:v>Structured candidate</x:v>
      </x:c>
      <x:c r="B6" s="51" t="str">
        <x:v>Multi-sender shared receiver with numeric or 16-32 hex routing-style memos, or high-throughput receiving behavior</x:v>
      </x:c>
      <x:c r="C6" s="51" t="str">
        <x:v>data/processed/cosmoshub/exchange_inflow_candidates_2025-10-09_2025-10-12.json</x:v>
      </x:c>
    </x:row>
    <x:row r="7">
      <x:c r="A7" s="51" t="str">
        <x:v>Large-flow watchlist</x:v>
      </x:c>
      <x:c r="B7" s="51" t="str">
        <x:v>Large event-window receiver without sufficient structured-memo evidence; not counted as exchange-like</x:v>
      </x:c>
      <x:c r="C7" s="51" t="str">
        <x:v>data/processed/cosmoshub/exchange_inflow_candidates_2025-10-09_2025-10-12.json</x:v>
      </x:c>
    </x:row>
    <x:row r="8">
      <x:c r="A8" s="51" t="str">
        <x:v>Public labels</x:v>
      </x:c>
      <x:c r="B8" s="51" t="str">
        <x:v>Exact-address matches in public records; Binance high confidence, others medium</x:v>
      </x:c>
      <x:c r="C8" s="51" t="str">
        <x:v>metadata/exchange_address_labels.json</x:v>
      </x:c>
    </x:row>
    <x:row r="9">
      <x:c r="A9" s="51" t="str">
        <x:v>Primary shifted control</x:v>
      </x:c>
      <x:c r="B9" s="51" t="str">
        <x:v>Previous UTC day, identical 20:30-22:30 clock time</x:v>
      </x:c>
      <x:c r="C9" s="51" t="str">
        <x:v>results/control_window_comparison.json</x:v>
      </x:c>
    </x:row>
    <x:row r="10">
      <x:c r="A10" s="51" t="str">
        <x:v>Matched-time sensitivity</x:v>
      </x:c>
      <x:c r="B10" s="51" t="str">
        <x:v>Same 20:30-22:30 UTC window on 2025-10-09, 2025-10-11, and 2025-10-12</x:v>
      </x:c>
      <x:c r="C10" s="51" t="str">
        <x:v>results/control_window_comparison.json</x:v>
      </x:c>
    </x:row>
    <x:row r="11">
      <x:c r="A11" s="51" t="str">
        <x:v>Empirical control distribution</x:v>
      </x:c>
      <x:c r="B11" s="51" t="str">
        <x:v>36 non-overlapping two-hour bins from three non-event dates; post-event dates may include recovery effects</x:v>
      </x:c>
      <x:c r="C11" s="51" t="str">
        <x:v>results/control_window_comparison.json</x:v>
      </x:c>
    </x:row>
    <x:row r="12">
      <x:c r="A12" s="51" t="str">
        <x:v>Publication baseline</x:v>
      </x:c>
      <x:c r="B12" s="51" t="str">
        <x:v>30 complete pre-event UTC days: 2025-09-10 through 2025-10-09</x:v>
      </x:c>
      <x:c r="C12" s="51" t="str">
        <x:v>data/processed/cosmoshub/baseline_30d/baseline_indexed_manifest.json</x:v>
      </x:c>
    </x:row>
    <x:row r="13">
      <x:c r="A13" s="51" t="str">
        <x:v>Main randomization set</x:v>
      </x:c>
      <x:c r="B13" s="51" t="str">
        <x:v>360 non-overlapping UTC-aligned two-hour windows; plus-one exact rank/randomization p-values</x:v>
      </x:c>
      <x:c r="C13" s="51" t="str">
        <x:v>results/publication_additional_analysis.json</x:v>
      </x:c>
    </x:row>
    <x:row r="14">
      <x:c r="A14" s="51" t="str">
        <x:v>Matched-clock sensitivity</x:v>
      </x:c>
      <x:c r="B14" s="51" t="str">
        <x:v>30 pre-event windows at 20:30-22:30 UTC; minimum attainable plus-one p is 1/31</x:v>
      </x:c>
      <x:c r="C14" s="51" t="str">
        <x:v>results/publication_additional_analysis.json</x:v>
      </x:c>
    </x:row>
    <x:row r="15">
      <x:c r="A15" s="51" t="str">
        <x:v>Signed-flow test</x:v>
      </x:c>
      <x:c r="B15" s="51" t="str">
        <x:v>Two-sided absolute deviation from the control median; tail direction fixed before inspecting results</x:v>
      </x:c>
      <x:c r="C15" s="51" t="str">
        <x:v>results/publication_additional_analysis.json</x:v>
      </x:c>
    </x:row>
    <x:row r="16">
      <x:c r="A16" s="51" t="str">
        <x:v>Lead-lag convention</x:v>
      </x:c>
      <x:c r="B16" s="51" t="str">
        <x:v>Positive lag means x leads y; one-minute ±5 min and five-minute ±60 min</x:v>
      </x:c>
      <x:c r="C16" s="51" t="str">
        <x:v>results/publication_additional_analysis.json</x:v>
      </x:c>
    </x:row>
    <x:row r="17">
      <x:c r="A17" s="51" t="str">
        <x:v>Lead-lag significance</x:v>
      </x:c>
      <x:c r="B17" s="51" t="str">
        <x:v>Circular-shift max-|correlation| test across all reported lags, deterministic seed 20251010</x:v>
      </x:c>
      <x:c r="C17" s="51" t="str">
        <x:v>results/publication_additional_analysis.json</x:v>
      </x:c>
    </x:row>
    <x:row r="18">
      <x:c r="A18" s="51" t="str">
        <x:v>Confirmed-only robustness</x:v>
      </x:c>
      <x:c r="B18" s="51" t="str">
        <x:v>Four public-record exact-address labels are primary; behavioral candidates are sensitivity-only; watchlist excluded</x:v>
      </x:c>
      <x:c r="C18" s="51" t="str">
        <x:v>metadata/exchange_address_labels.json</x:v>
      </x:c>
    </x:row>
    <x:row r="19">
      <x:c r="A19" s="51" t="str">
        <x:v>Order-book limitation</x:v>
      </x:c>
      <x:c r="B19" s="51" t="str">
        <x:v>No historical Binance ATOM/USDT order-book snapshots are in the acquired data; results are consistent with, but do not prove, liquidity depletion.</x:v>
      </x:c>
      <x:c r="C19" s="51" t="str">
        <x:v>results/publication_additional_analysis.json</x:v>
      </x:c>
    </x:row>
    <x:row r="20">
      <x:c r="A20" s="51" t="str">
        <x:v>30-day Cosmos verification</x:v>
      </x:c>
      <x:c r="B20" s="51" t="str">
        <x:v>PASS</x:v>
      </x:c>
      <x:c r="C20" s="51" t="str">
        <x:v>results/cosmos_baseline_30d_verification.json</x:v>
      </x:c>
    </x:row>
    <x:row r="21">
      <x:c r="A21" s="51" t="str">
        <x:v>Publication statistics verification</x:v>
      </x:c>
      <x:c r="B21" s="51" t="str">
        <x:v>PASS</x:v>
      </x:c>
      <x:c r="C21" s="51" t="str">
        <x:v>results/publication_additional_verification.json</x:v>
      </x:c>
    </x:row>
    <x:row r="22">
      <x:c r="A22" s="51" t="str">
        <x:v>Causality limitation</x:v>
      </x:c>
      <x:c r="B22" s="51" t="str">
        <x:v>Timing and address association do not prove that a transfer caused a trade or identify the exchange account beneficiary.</x:v>
      </x:c>
      <x:c r="C22" s="51" t="str"/>
    </x:row>
    <x:row r="23">
      <x:c r="A23" s="51" t="str">
        <x:v>IBC limitation</x:v>
      </x:c>
      <x:c r="B23" s="51" t="str">
        <x:v>IBC net flow is Cosmos Hub packet movement, not centralized-exchange net flow.</x:v>
      </x:c>
      <x:c r="C23" s="51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20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2" customHeight="1">
      <x:c r="A1" s="20" t="str">
        <x:v>Thirty-day event-window rank and randomization tests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</x:row>
    <x:row r="2" ht="32" customHeight="1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</x:row>
    <x:row r="4">
      <x:c r="A4" s="9" t="str">
        <x:v>Group</x:v>
      </x:c>
      <x:c r="B4" s="10" t="str">
        <x:v>Metric</x:v>
      </x:c>
      <x:c r="C4" s="10" t="str">
        <x:v>Control set</x:v>
      </x:c>
      <x:c r="D4" s="10" t="str">
        <x:v>Tail</x:v>
      </x:c>
      <x:c r="E4" s="10" t="str">
        <x:v>Event</x:v>
      </x:c>
      <x:c r="F4" s="10" t="str">
        <x:v>N</x:v>
      </x:c>
      <x:c r="G4" s="10" t="str">
        <x:v>Mean</x:v>
      </x:c>
      <x:c r="H4" s="10" t="str">
        <x:v>Median</x:v>
      </x:c>
      <x:c r="I4" s="10" t="str">
        <x:v>P05</x:v>
      </x:c>
      <x:c r="J4" s="10" t="str">
        <x:v>P95</x:v>
      </x:c>
      <x:c r="K4" s="10" t="str">
        <x:v>Event percentile</x:v>
      </x:c>
      <x:c r="L4" s="10" t="str">
        <x:v>Exceedances</x:v>
      </x:c>
      <x:c r="M4" s="11" t="str">
        <x:v>Plus-one p</x:v>
      </x:c>
    </x:row>
    <x:row r="5">
      <x:c r="A5" s="12" t="str">
        <x:v>Chain</x:v>
      </x:c>
      <x:c r="B5" s="12" t="str">
        <x:v>Confirmed exchange in (ATOM)</x:v>
      </x:c>
      <x:c r="C5" s="12" t="str">
        <x:v>all_360</x:v>
      </x:c>
      <x:c r="D5" s="12" t="str">
        <x:v>upper</x:v>
      </x:c>
      <x:c r="E5" s="14" t="n">
        <x:v>188053.420087</x:v>
      </x:c>
      <x:c r="F5" s="14" t="n">
        <x:f>COUNT('30d Controls'!$D$2:$D$361)</x:f>
        <x:v>360</x:v>
      </x:c>
      <x:c r="G5" s="14" t="n">
        <x:f>AVERAGE('30d Controls'!$D$2:$D$361)</x:f>
        <x:v>60763.816746391705</x:v>
      </x:c>
      <x:c r="H5" s="14" t="n">
        <x:f>MEDIAN('30d Controls'!$D$2:$D$361)</x:f>
        <x:v>35541.3750745</x:v>
      </x:c>
      <x:c r="I5" s="14" t="n">
        <x:f>SMALL('30d Controls'!$D$2:$D$361,MAX(1,ROUNDUP(F5*0.05,0)))</x:f>
        <x:v>8627.128867</x:v>
      </x:c>
      <x:c r="J5" s="14" t="n">
        <x:f>SMALL('30d Controls'!$D$2:$D$361,MAX(1,ROUNDUP(F5*0.95,0)))</x:f>
        <x:v>202356.891661</x:v>
      </x:c>
      <x:c r="K5" s="21" t="n">
        <x:f>COUNTIF('30d Controls'!$D$2:$D$361,"&lt;="&amp;E5)/F5</x:f>
        <x:v>0.9388888888888889</x:v>
      </x:c>
      <x:c r="L5" s="16" t="n">
        <x:f>COUNTIF('30d Controls'!$D$2:$D$361,"&gt;="&amp;E5)</x:f>
        <x:v>22</x:v>
      </x:c>
      <x:c r="M5" s="37" t="n">
        <x:f>(1+L5)/(F5+1)</x:f>
        <x:v>0.06371191135734072</x:v>
      </x:c>
    </x:row>
    <x:row r="6">
      <x:c r="A6" s="13" t="str">
        <x:v>Chain</x:v>
      </x:c>
      <x:c r="B6" s="13" t="str">
        <x:v>Confirmed exchange in (ATOM)</x:v>
      </x:c>
      <x:c r="C6" s="13" t="str">
        <x:v>matched_clock_30</x:v>
      </x:c>
      <x:c r="D6" s="13" t="str">
        <x:v>upper</x:v>
      </x:c>
      <x:c r="E6" s="15" t="n">
        <x:v>188053.420087</x:v>
      </x:c>
      <x:c r="F6" s="15" t="n">
        <x:f>COUNT('30d Controls'!$D$362:$D$391)</x:f>
        <x:v>30</x:v>
      </x:c>
      <x:c r="G6" s="15" t="n">
        <x:f>AVERAGE('30d Controls'!$D$362:$D$391)</x:f>
        <x:v>76045.91946036667</x:v>
      </x:c>
      <x:c r="H6" s="15" t="n">
        <x:f>MEDIAN('30d Controls'!$D$362:$D$391)</x:f>
        <x:v>32535.717854000002</x:v>
      </x:c>
      <x:c r="I6" s="15" t="n">
        <x:f>SMALL('30d Controls'!$D$362:$D$391,MAX(1,ROUNDUP(F6*0.05,0)))</x:f>
        <x:v>9426.540495</x:v>
      </x:c>
      <x:c r="J6" s="15" t="n">
        <x:f>SMALL('30d Controls'!$D$362:$D$391,MAX(1,ROUNDUP(F6*0.95,0)))</x:f>
        <x:v>214184.06767299998</x:v>
      </x:c>
      <x:c r="K6" s="22" t="n">
        <x:f>COUNTIF('30d Controls'!$D$362:$D$391,"&lt;="&amp;E6)/F6</x:f>
        <x:v>0.9</x:v>
      </x:c>
      <x:c r="L6" s="17" t="n">
        <x:f>COUNTIF('30d Controls'!$D$362:$D$391,"&gt;="&amp;E6)</x:f>
        <x:v>3</x:v>
      </x:c>
      <x:c r="M6" s="38" t="n">
        <x:f>(1+L6)/(F6+1)</x:f>
        <x:v>0.12903225806451613</x:v>
      </x:c>
    </x:row>
    <x:row r="7">
      <x:c r="A7" s="13" t="str">
        <x:v>Chain</x:v>
      </x:c>
      <x:c r="B7" s="13" t="str">
        <x:v>Confirmed exchange out (ATOM)</x:v>
      </x:c>
      <x:c r="C7" s="13" t="str">
        <x:v>all_360</x:v>
      </x:c>
      <x:c r="D7" s="13" t="str">
        <x:v>upper</x:v>
      </x:c>
      <x:c r="E7" s="15" t="n">
        <x:v>195398.332856</x:v>
      </x:c>
      <x:c r="F7" s="15" t="n">
        <x:f>COUNT('30d Controls'!$E$2:$E$361)</x:f>
        <x:v>360</x:v>
      </x:c>
      <x:c r="G7" s="15" t="n">
        <x:f>AVERAGE('30d Controls'!$E$2:$E$361)</x:f>
        <x:v>60455.158475097174</x:v>
      </x:c>
      <x:c r="H7" s="15" t="n">
        <x:f>MEDIAN('30d Controls'!$E$2:$E$361)</x:f>
        <x:v>36164.15207</x:v>
      </x:c>
      <x:c r="I7" s="15" t="n">
        <x:f>SMALL('30d Controls'!$E$2:$E$361,MAX(1,ROUNDUP(F7*0.05,0)))</x:f>
        <x:v>8871.106910999999</x:v>
      </x:c>
      <x:c r="J7" s="15" t="n">
        <x:f>SMALL('30d Controls'!$E$2:$E$361,MAX(1,ROUNDUP(F7*0.95,0)))</x:f>
        <x:v>200588.630594</x:v>
      </x:c>
      <x:c r="K7" s="22" t="n">
        <x:f>COUNTIF('30d Controls'!$E$2:$E$361,"&lt;="&amp;E7)/F7</x:f>
        <x:v>0.9444444444444444</x:v>
      </x:c>
      <x:c r="L7" s="17" t="n">
        <x:f>COUNTIF('30d Controls'!$E$2:$E$361,"&gt;="&amp;E7)</x:f>
        <x:v>20</x:v>
      </x:c>
      <x:c r="M7" s="38" t="n">
        <x:f>(1+L7)/(F7+1)</x:f>
        <x:v>0.05817174515235457</x:v>
      </x:c>
    </x:row>
    <x:row r="8">
      <x:c r="A8" s="13" t="str">
        <x:v>Chain</x:v>
      </x:c>
      <x:c r="B8" s="13" t="str">
        <x:v>Confirmed exchange out (ATOM)</x:v>
      </x:c>
      <x:c r="C8" s="13" t="str">
        <x:v>matched_clock_30</x:v>
      </x:c>
      <x:c r="D8" s="13" t="str">
        <x:v>upper</x:v>
      </x:c>
      <x:c r="E8" s="15" t="n">
        <x:v>195398.332856</x:v>
      </x:c>
      <x:c r="F8" s="15" t="n">
        <x:f>COUNT('30d Controls'!$E$362:$E$391)</x:f>
        <x:v>30</x:v>
      </x:c>
      <x:c r="G8" s="15" t="n">
        <x:f>AVERAGE('30d Controls'!$E$362:$E$391)</x:f>
        <x:v>75167.04780623334</x:v>
      </x:c>
      <x:c r="H8" s="15" t="n">
        <x:f>MEDIAN('30d Controls'!$E$362:$E$391)</x:f>
        <x:v>29251.388284</x:v>
      </x:c>
      <x:c r="I8" s="15" t="n">
        <x:f>SMALL('30d Controls'!$E$362:$E$391,MAX(1,ROUNDUP(F8*0.05,0)))</x:f>
        <x:v>6875.200195</x:v>
      </x:c>
      <x:c r="J8" s="15" t="n">
        <x:f>SMALL('30d Controls'!$E$362:$E$391,MAX(1,ROUNDUP(F8*0.95,0)))</x:f>
        <x:v>215778.656488</x:v>
      </x:c>
      <x:c r="K8" s="22" t="n">
        <x:f>COUNTIF('30d Controls'!$E$362:$E$391,"&lt;="&amp;E8)/F8</x:f>
        <x:v>0.9</x:v>
      </x:c>
      <x:c r="L8" s="17" t="n">
        <x:f>COUNTIF('30d Controls'!$E$362:$E$391,"&gt;="&amp;E8)</x:f>
        <x:v>3</x:v>
      </x:c>
      <x:c r="M8" s="38" t="n">
        <x:f>(1+L8)/(F8+1)</x:f>
        <x:v>0.12903225806451613</x:v>
      </x:c>
    </x:row>
    <x:row r="9">
      <x:c r="A9" s="13" t="str">
        <x:v>Chain</x:v>
      </x:c>
      <x:c r="B9" s="13" t="str">
        <x:v>Confirmed exchange gross (ATOM)</x:v>
      </x:c>
      <x:c r="C9" s="13" t="str">
        <x:v>all_360</x:v>
      </x:c>
      <x:c r="D9" s="13" t="str">
        <x:v>upper</x:v>
      </x:c>
      <x:c r="E9" s="15" t="n">
        <x:v>383451.752943</x:v>
      </x:c>
      <x:c r="F9" s="15" t="n">
        <x:f>COUNT('30d Controls'!$F$2:$F$361)</x:f>
        <x:v>360</x:v>
      </x:c>
      <x:c r="G9" s="15" t="n">
        <x:f>AVERAGE('30d Controls'!$F$2:$F$361)</x:f>
        <x:v>121218.97522148883</x:v>
      </x:c>
      <x:c r="H9" s="15" t="n">
        <x:f>MEDIAN('30d Controls'!$F$2:$F$361)</x:f>
        <x:v>70694.74265900001</x:v>
      </x:c>
      <x:c r="I9" s="15" t="n">
        <x:f>SMALL('30d Controls'!$F$2:$F$361,MAX(1,ROUNDUP(F9*0.05,0)))</x:f>
        <x:v>17514.291524</x:v>
      </x:c>
      <x:c r="J9" s="15" t="n">
        <x:f>SMALL('30d Controls'!$F$2:$F$361,MAX(1,ROUNDUP(F9*0.95,0)))</x:f>
        <x:v>403251.781072</x:v>
      </x:c>
      <x:c r="K9" s="22" t="n">
        <x:f>COUNTIF('30d Controls'!$F$2:$F$361,"&lt;="&amp;E9)/F9</x:f>
        <x:v>0.9416666666666667</x:v>
      </x:c>
      <x:c r="L9" s="17" t="n">
        <x:f>COUNTIF('30d Controls'!$F$2:$F$361,"&gt;="&amp;E9)</x:f>
        <x:v>21</x:v>
      </x:c>
      <x:c r="M9" s="38" t="n">
        <x:f>(1+L9)/(F9+1)</x:f>
        <x:v>0.060941828254847646</x:v>
      </x:c>
    </x:row>
    <x:row r="10">
      <x:c r="A10" s="13" t="str">
        <x:v>Chain</x:v>
      </x:c>
      <x:c r="B10" s="13" t="str">
        <x:v>Confirmed exchange gross (ATOM)</x:v>
      </x:c>
      <x:c r="C10" s="13" t="str">
        <x:v>matched_clock_30</x:v>
      </x:c>
      <x:c r="D10" s="13" t="str">
        <x:v>upper</x:v>
      </x:c>
      <x:c r="E10" s="15" t="n">
        <x:v>383451.752943</x:v>
      </x:c>
      <x:c r="F10" s="15" t="n">
        <x:f>COUNT('30d Controls'!$F$362:$F$391)</x:f>
        <x:v>30</x:v>
      </x:c>
      <x:c r="G10" s="15" t="n">
        <x:f>AVERAGE('30d Controls'!$F$362:$F$391)</x:f>
        <x:v>151212.96726660003</x:v>
      </x:c>
      <x:c r="H10" s="15" t="n">
        <x:f>MEDIAN('30d Controls'!$F$362:$F$391)</x:f>
        <x:v>56168.001406</x:v>
      </x:c>
      <x:c r="I10" s="15" t="n">
        <x:f>SMALL('30d Controls'!$F$362:$F$391,MAX(1,ROUNDUP(F10*0.05,0)))</x:f>
        <x:v>16301.740689999999</x:v>
      </x:c>
      <x:c r="J10" s="15" t="n">
        <x:f>SMALL('30d Controls'!$F$362:$F$391,MAX(1,ROUNDUP(F10*0.95,0)))</x:f>
        <x:v>429962.724161</x:v>
      </x:c>
      <x:c r="K10" s="22" t="n">
        <x:f>COUNTIF('30d Controls'!$F$362:$F$391,"&lt;="&amp;E10)/F10</x:f>
        <x:v>0.9</x:v>
      </x:c>
      <x:c r="L10" s="17" t="n">
        <x:f>COUNTIF('30d Controls'!$F$362:$F$391,"&gt;="&amp;E10)</x:f>
        <x:v>3</x:v>
      </x:c>
      <x:c r="M10" s="38" t="n">
        <x:f>(1+L10)/(F10+1)</x:f>
        <x:v>0.12903225806451613</x:v>
      </x:c>
    </x:row>
    <x:row r="11">
      <x:c r="A11" s="13" t="str">
        <x:v>Chain</x:v>
      </x:c>
      <x:c r="B11" s="13" t="str">
        <x:v>Confirmed exchange net in (ATOM)</x:v>
      </x:c>
      <x:c r="C11" s="13" t="str">
        <x:v>all_360</x:v>
      </x:c>
      <x:c r="D11" s="13" t="str">
        <x:v>two_sided_median</x:v>
      </x:c>
      <x:c r="E11" s="15" t="n">
        <x:v>-7344.912768999988</x:v>
      </x:c>
      <x:c r="F11" s="15" t="n">
        <x:f>COUNT('30d Controls'!$G$2:$G$361)</x:f>
        <x:v>360</x:v>
      </x:c>
      <x:c r="G11" s="15" t="n">
        <x:f>AVERAGE('30d Controls'!$G$2:$G$361)</x:f>
        <x:v>308.65827129444455</x:v>
      </x:c>
      <x:c r="H11" s="15" t="n">
        <x:f>MEDIAN('30d Controls'!$G$2:$G$361)</x:f>
        <x:v>89.75000050000108</x:v>
      </x:c>
      <x:c r="I11" s="15" t="n">
        <x:f>SMALL('30d Controls'!$G$2:$G$361,MAX(1,ROUNDUP(F11*0.05,0)))</x:f>
        <x:v>-8143.932181000011</x:v>
      </x:c>
      <x:c r="J11" s="15" t="n">
        <x:f>SMALL('30d Controls'!$G$2:$G$361,MAX(1,ROUNDUP(F11*0.95,0)))</x:f>
        <x:v>9079.199501000003</x:v>
      </x:c>
      <x:c r="K11" s="22" t="n">
        <x:f>COUNTIF('30d Controls'!$G$2:$G$361,"&lt;="&amp;E11)/F11</x:f>
        <x:v>0.05</x:v>
      </x:c>
      <x:c r="L11" s="17" t="n">
        <x:f>COUNTIF('30d Controls'!$G$2:$G$361,"&gt;="&amp;(H11+ABS(E11-H11)))+COUNTIF('30d Controls'!$G$2:$G$361,"&lt;="&amp;(H11-ABS(E11-H11)))</x:f>
        <x:v>42</x:v>
      </x:c>
      <x:c r="M11" s="38" t="n">
        <x:f>(1+L11)/(F11+1)</x:f>
        <x:v>0.11911357340720222</x:v>
      </x:c>
    </x:row>
    <x:row r="12">
      <x:c r="A12" s="13" t="str">
        <x:v>Chain</x:v>
      </x:c>
      <x:c r="B12" s="13" t="str">
        <x:v>Confirmed exchange net in (ATOM)</x:v>
      </x:c>
      <x:c r="C12" s="13" t="str">
        <x:v>matched_clock_30</x:v>
      </x:c>
      <x:c r="D12" s="13" t="str">
        <x:v>two_sided_median</x:v>
      </x:c>
      <x:c r="E12" s="15" t="n">
        <x:v>-7344.912768999988</x:v>
      </x:c>
      <x:c r="F12" s="15" t="n">
        <x:f>COUNT('30d Controls'!$G$362:$G$391)</x:f>
        <x:v>30</x:v>
      </x:c>
      <x:c r="G12" s="15" t="n">
        <x:f>AVERAGE('30d Controls'!$G$362:$G$391)</x:f>
        <x:v>878.871654133334</x:v>
      </x:c>
      <x:c r="H12" s="15" t="n">
        <x:f>MEDIAN('30d Controls'!$G$362:$G$391)</x:f>
        <x:v>-323.7767069999991</x:v>
      </x:c>
      <x:c r="I12" s="15" t="n">
        <x:f>SMALL('30d Controls'!$G$362:$G$391,MAX(1,ROUNDUP(F12*0.05,0)))</x:f>
        <x:v>-5013.357026999998</x:v>
      </x:c>
      <x:c r="J12" s="15" t="n">
        <x:f>SMALL('30d Controls'!$G$362:$G$391,MAX(1,ROUNDUP(F12*0.95,0)))</x:f>
        <x:v>20693.602936</x:v>
      </x:c>
      <x:c r="K12" s="22" t="n">
        <x:f>COUNTIF('30d Controls'!$G$362:$G$391,"&lt;="&amp;E12)/F12</x:f>
        <x:v>0.03333333333333333</x:v>
      </x:c>
      <x:c r="L12" s="17" t="n">
        <x:f>COUNTIF('30d Controls'!$G$362:$G$391,"&gt;="&amp;(H12+ABS(E12-H12)))+COUNTIF('30d Controls'!$G$362:$G$391,"&lt;="&amp;(H12-ABS(E12-H12)))</x:f>
        <x:v>4</x:v>
      </x:c>
      <x:c r="M12" s="38" t="n">
        <x:f>(1+L12)/(F12+1)</x:f>
        <x:v>0.16129032258064516</x:v>
      </x:c>
    </x:row>
    <x:row r="13">
      <x:c r="A13" s="13" t="str">
        <x:v>Chain</x:v>
      </x:c>
      <x:c r="B13" s="13" t="str">
        <x:v>Unconfirmed behavioral in (ATOM)</x:v>
      </x:c>
      <x:c r="C13" s="13" t="str">
        <x:v>all_360</x:v>
      </x:c>
      <x:c r="D13" s="13" t="str">
        <x:v>upper</x:v>
      </x:c>
      <x:c r="E13" s="15" t="n">
        <x:v>1393999.777324</x:v>
      </x:c>
      <x:c r="F13" s="15" t="n">
        <x:f>COUNT('30d Controls'!$H$2:$H$361)</x:f>
        <x:v>360</x:v>
      </x:c>
      <x:c r="G13" s="15" t="n">
        <x:f>AVERAGE('30d Controls'!$H$2:$H$361)</x:f>
        <x:v>178561.47900555006</x:v>
      </x:c>
      <x:c r="H13" s="15" t="n">
        <x:f>MEDIAN('30d Controls'!$H$2:$H$361)</x:f>
        <x:v>109429.3292335</x:v>
      </x:c>
      <x:c r="I13" s="15" t="n">
        <x:f>SMALL('30d Controls'!$H$2:$H$361,MAX(1,ROUNDUP(F13*0.05,0)))</x:f>
        <x:v>36506.494006</x:v>
      </x:c>
      <x:c r="J13" s="15" t="n">
        <x:f>SMALL('30d Controls'!$H$2:$H$361,MAX(1,ROUNDUP(F13*0.95,0)))</x:f>
        <x:v>473863.430768</x:v>
      </x:c>
      <x:c r="K13" s="22" t="n">
        <x:f>COUNTIF('30d Controls'!$H$2:$H$361,"&lt;="&amp;E13)/F13</x:f>
        <x:v>0.9916666666666667</x:v>
      </x:c>
      <x:c r="L13" s="17" t="n">
        <x:f>COUNTIF('30d Controls'!$H$2:$H$361,"&gt;="&amp;E13)</x:f>
        <x:v>3</x:v>
      </x:c>
      <x:c r="M13" s="38" t="n">
        <x:f>(1+L13)/(F13+1)</x:f>
        <x:v>0.0110803324099723</x:v>
      </x:c>
    </x:row>
    <x:row r="14">
      <x:c r="A14" s="13" t="str">
        <x:v>Chain</x:v>
      </x:c>
      <x:c r="B14" s="13" t="str">
        <x:v>Unconfirmed behavioral in (ATOM)</x:v>
      </x:c>
      <x:c r="C14" s="13" t="str">
        <x:v>matched_clock_30</x:v>
      </x:c>
      <x:c r="D14" s="13" t="str">
        <x:v>upper</x:v>
      </x:c>
      <x:c r="E14" s="15" t="n">
        <x:v>1393999.777324</x:v>
      </x:c>
      <x:c r="F14" s="15" t="n">
        <x:f>COUNT('30d Controls'!$H$362:$H$391)</x:f>
        <x:v>30</x:v>
      </x:c>
      <x:c r="G14" s="15" t="n">
        <x:f>AVERAGE('30d Controls'!$H$362:$H$391)</x:f>
        <x:v>237670.22998363336</x:v>
      </x:c>
      <x:c r="H14" s="15" t="n">
        <x:f>MEDIAN('30d Controls'!$H$362:$H$391)</x:f>
        <x:v>123476.923759</x:v>
      </x:c>
      <x:c r="I14" s="15" t="n">
        <x:f>SMALL('30d Controls'!$H$362:$H$391,MAX(1,ROUNDUP(F14*0.05,0)))</x:f>
        <x:v>46300.03314</x:v>
      </x:c>
      <x:c r="J14" s="15" t="n">
        <x:f>SMALL('30d Controls'!$H$362:$H$391,MAX(1,ROUNDUP(F14*0.95,0)))</x:f>
        <x:v>938725.878332</x:v>
      </x:c>
      <x:c r="K14" s="22" t="n">
        <x:f>COUNTIF('30d Controls'!$H$362:$H$391,"&lt;="&amp;E14)/F14</x:f>
        <x:v>0.9666666666666667</x:v>
      </x:c>
      <x:c r="L14" s="17" t="n">
        <x:f>COUNTIF('30d Controls'!$H$362:$H$391,"&gt;="&amp;E14)</x:f>
        <x:v>1</x:v>
      </x:c>
      <x:c r="M14" s="38" t="n">
        <x:f>(1+L14)/(F14+1)</x:f>
        <x:v>0.06451612903225806</x:v>
      </x:c>
    </x:row>
    <x:row r="15">
      <x:c r="A15" s="13" t="str">
        <x:v>Chain</x:v>
      </x:c>
      <x:c r="B15" s="13" t="str">
        <x:v>Confirmed + unconfirmed in (ATOM)</x:v>
      </x:c>
      <x:c r="C15" s="13" t="str">
        <x:v>all_360</x:v>
      </x:c>
      <x:c r="D15" s="13" t="str">
        <x:v>upper</x:v>
      </x:c>
      <x:c r="E15" s="15" t="n">
        <x:v>1582053.1974109998</x:v>
      </x:c>
      <x:c r="F15" s="15" t="n">
        <x:f>COUNT('30d Controls'!$I$2:$I$361)</x:f>
        <x:v>360</x:v>
      </x:c>
      <x:c r="G15" s="15" t="n">
        <x:f>AVERAGE('30d Controls'!$I$2:$I$361)</x:f>
        <x:v>239325.2957519417</x:v>
      </x:c>
      <x:c r="H15" s="15" t="n">
        <x:f>MEDIAN('30d Controls'!$I$2:$I$361)</x:f>
        <x:v>151616.02053500002</x:v>
      </x:c>
      <x:c r="I15" s="15" t="n">
        <x:f>SMALL('30d Controls'!$I$2:$I$361,MAX(1,ROUNDUP(F15*0.05,0)))</x:f>
        <x:v>53408.680282</x:v>
      </x:c>
      <x:c r="J15" s="15" t="n">
        <x:f>SMALL('30d Controls'!$I$2:$I$361,MAX(1,ROUNDUP(F15*0.95,0)))</x:f>
        <x:v>569004.7298730001</x:v>
      </x:c>
      <x:c r="K15" s="22" t="n">
        <x:f>COUNTIF('30d Controls'!$I$2:$I$361,"&lt;="&amp;E15)/F15</x:f>
        <x:v>0.9888888888888889</x:v>
      </x:c>
      <x:c r="L15" s="17" t="n">
        <x:f>COUNTIF('30d Controls'!$I$2:$I$361,"&gt;="&amp;E15)</x:f>
        <x:v>4</x:v>
      </x:c>
      <x:c r="M15" s="38" t="n">
        <x:f>(1+L15)/(F15+1)</x:f>
        <x:v>0.013850415512465374</x:v>
      </x:c>
    </x:row>
    <x:row r="16">
      <x:c r="A16" s="13" t="str">
        <x:v>Chain</x:v>
      </x:c>
      <x:c r="B16" s="13" t="str">
        <x:v>Confirmed + unconfirmed in (ATOM)</x:v>
      </x:c>
      <x:c r="C16" s="13" t="str">
        <x:v>matched_clock_30</x:v>
      </x:c>
      <x:c r="D16" s="13" t="str">
        <x:v>upper</x:v>
      </x:c>
      <x:c r="E16" s="15" t="n">
        <x:v>1582053.1974109998</x:v>
      </x:c>
      <x:c r="F16" s="15" t="n">
        <x:f>COUNT('30d Controls'!$I$362:$I$391)</x:f>
        <x:v>30</x:v>
      </x:c>
      <x:c r="G16" s="15" t="n">
        <x:f>AVERAGE('30d Controls'!$I$362:$I$391)</x:f>
        <x:v>313716.1494439999</x:v>
      </x:c>
      <x:c r="H16" s="15" t="n">
        <x:f>MEDIAN('30d Controls'!$I$362:$I$391)</x:f>
        <x:v>163201.24509749998</x:v>
      </x:c>
      <x:c r="I16" s="15" t="n">
        <x:f>SMALL('30d Controls'!$I$362:$I$391,MAX(1,ROUNDUP(F16*0.05,0)))</x:f>
        <x:v>69161.818461</x:v>
      </x:c>
      <x:c r="J16" s="15" t="n">
        <x:f>SMALL('30d Controls'!$I$362:$I$391,MAX(1,ROUNDUP(F16*0.95,0)))</x:f>
        <x:v>1656557.33114</x:v>
      </x:c>
      <x:c r="K16" s="22" t="n">
        <x:f>COUNTIF('30d Controls'!$I$362:$I$391,"&lt;="&amp;E16)/F16</x:f>
        <x:v>0.9333333333333333</x:v>
      </x:c>
      <x:c r="L16" s="17" t="n">
        <x:f>COUNTIF('30d Controls'!$I$362:$I$391,"&gt;="&amp;E16)</x:f>
        <x:v>2</x:v>
      </x:c>
      <x:c r="M16" s="38" t="n">
        <x:f>(1+L16)/(F16+1)</x:f>
        <x:v>0.0967741935483871</x:v>
      </x:c>
    </x:row>
    <x:row r="17">
      <x:c r="A17" s="13" t="str">
        <x:v>Chain</x:v>
      </x:c>
      <x:c r="B17" s="13" t="str">
        <x:v>IBC inbound (ATOM)</x:v>
      </x:c>
      <x:c r="C17" s="13" t="str">
        <x:v>all_360</x:v>
      </x:c>
      <x:c r="D17" s="13" t="str">
        <x:v>upper</x:v>
      </x:c>
      <x:c r="E17" s="15" t="n">
        <x:v>277987.972547</x:v>
      </x:c>
      <x:c r="F17" s="15" t="n">
        <x:f>COUNT('30d Controls'!$J$2:$J$361)</x:f>
        <x:v>360</x:v>
      </x:c>
      <x:c r="G17" s="15" t="n">
        <x:f>AVERAGE('30d Controls'!$J$2:$J$361)</x:f>
        <x:v>28023.37552831944</x:v>
      </x:c>
      <x:c r="H17" s="15" t="n">
        <x:f>MEDIAN('30d Controls'!$J$2:$J$361)</x:f>
        <x:v>10723.1499705</x:v>
      </x:c>
      <x:c r="I17" s="15" t="n">
        <x:f>SMALL('30d Controls'!$J$2:$J$361,MAX(1,ROUNDUP(F17*0.05,0)))</x:f>
        <x:v>1964.6684089999999</x:v>
      </x:c>
      <x:c r="J17" s="15" t="n">
        <x:f>SMALL('30d Controls'!$J$2:$J$361,MAX(1,ROUNDUP(F17*0.95,0)))</x:f>
        <x:v>101330.373507</x:v>
      </x:c>
      <x:c r="K17" s="22" t="n">
        <x:f>COUNTIF('30d Controls'!$J$2:$J$361,"&lt;="&amp;E17)/F17</x:f>
        <x:v>0.9861111111111112</x:v>
      </x:c>
      <x:c r="L17" s="17" t="n">
        <x:f>COUNTIF('30d Controls'!$J$2:$J$361,"&gt;="&amp;E17)</x:f>
        <x:v>5</x:v>
      </x:c>
      <x:c r="M17" s="38" t="n">
        <x:f>(1+L17)/(F17+1)</x:f>
        <x:v>0.01662049861495845</x:v>
      </x:c>
    </x:row>
    <x:row r="18">
      <x:c r="A18" s="13" t="str">
        <x:v>Chain</x:v>
      </x:c>
      <x:c r="B18" s="13" t="str">
        <x:v>IBC inbound (ATOM)</x:v>
      </x:c>
      <x:c r="C18" s="13" t="str">
        <x:v>matched_clock_30</x:v>
      </x:c>
      <x:c r="D18" s="13" t="str">
        <x:v>upper</x:v>
      </x:c>
      <x:c r="E18" s="15" t="n">
        <x:v>277987.972547</x:v>
      </x:c>
      <x:c r="F18" s="15" t="n">
        <x:f>COUNT('30d Controls'!$J$362:$J$391)</x:f>
        <x:v>30</x:v>
      </x:c>
      <x:c r="G18" s="15" t="n">
        <x:f>AVERAGE('30d Controls'!$J$362:$J$391)</x:f>
        <x:v>51032.05203786667</x:v>
      </x:c>
      <x:c r="H18" s="15" t="n">
        <x:f>MEDIAN('30d Controls'!$J$362:$J$391)</x:f>
        <x:v>13891.6295695</x:v>
      </x:c>
      <x:c r="I18" s="15" t="n">
        <x:f>SMALL('30d Controls'!$J$362:$J$391,MAX(1,ROUNDUP(F18*0.05,0)))</x:f>
        <x:v>5199.860095</x:v>
      </x:c>
      <x:c r="J18" s="15" t="n">
        <x:f>SMALL('30d Controls'!$J$362:$J$391,MAX(1,ROUNDUP(F18*0.95,0)))</x:f>
        <x:v>42477.944008</x:v>
      </x:c>
      <x:c r="K18" s="22" t="n">
        <x:f>COUNTIF('30d Controls'!$J$362:$J$391,"&lt;="&amp;E18)/F18</x:f>
        <x:v>0.9666666666666667</x:v>
      </x:c>
      <x:c r="L18" s="17" t="n">
        <x:f>COUNTIF('30d Controls'!$J$362:$J$391,"&gt;="&amp;E18)</x:f>
        <x:v>1</x:v>
      </x:c>
      <x:c r="M18" s="38" t="n">
        <x:f>(1+L18)/(F18+1)</x:f>
        <x:v>0.06451612903225806</x:v>
      </x:c>
    </x:row>
    <x:row r="19">
      <x:c r="A19" s="13" t="str">
        <x:v>Chain</x:v>
      </x:c>
      <x:c r="B19" s="13" t="str">
        <x:v>IBC outbound (ATOM)</x:v>
      </x:c>
      <x:c r="C19" s="13" t="str">
        <x:v>all_360</x:v>
      </x:c>
      <x:c r="D19" s="13" t="str">
        <x:v>upper</x:v>
      </x:c>
      <x:c r="E19" s="15" t="n">
        <x:v>450890.17830500007</x:v>
      </x:c>
      <x:c r="F19" s="15" t="n">
        <x:f>COUNT('30d Controls'!$K$2:$K$361)</x:f>
        <x:v>360</x:v>
      </x:c>
      <x:c r="G19" s="15" t="n">
        <x:f>AVERAGE('30d Controls'!$K$2:$K$361)</x:f>
        <x:v>40441.91720459166</x:v>
      </x:c>
      <x:c r="H19" s="15" t="n">
        <x:f>MEDIAN('30d Controls'!$K$2:$K$361)</x:f>
        <x:v>11441.472595</x:v>
      </x:c>
      <x:c r="I19" s="15" t="n">
        <x:f>SMALL('30d Controls'!$K$2:$K$361,MAX(1,ROUNDUP(F19*0.05,0)))</x:f>
        <x:v>2544.663647</x:v>
      </x:c>
      <x:c r="J19" s="15" t="n">
        <x:f>SMALL('30d Controls'!$K$2:$K$361,MAX(1,ROUNDUP(F19*0.95,0)))</x:f>
        <x:v>83986.539663</x:v>
      </x:c>
      <x:c r="K19" s="22" t="n">
        <x:f>COUNTIF('30d Controls'!$K$2:$K$361,"&lt;="&amp;E19)/F19</x:f>
        <x:v>0.9888888888888889</x:v>
      </x:c>
      <x:c r="L19" s="17" t="n">
        <x:f>COUNTIF('30d Controls'!$K$2:$K$361,"&gt;="&amp;E19)</x:f>
        <x:v>4</x:v>
      </x:c>
      <x:c r="M19" s="38" t="n">
        <x:f>(1+L19)/(F19+1)</x:f>
        <x:v>0.013850415512465374</x:v>
      </x:c>
    </x:row>
    <x:row r="20">
      <x:c r="A20" s="13" t="str">
        <x:v>Chain</x:v>
      </x:c>
      <x:c r="B20" s="13" t="str">
        <x:v>IBC outbound (ATOM)</x:v>
      </x:c>
      <x:c r="C20" s="13" t="str">
        <x:v>matched_clock_30</x:v>
      </x:c>
      <x:c r="D20" s="13" t="str">
        <x:v>upper</x:v>
      </x:c>
      <x:c r="E20" s="15" t="n">
        <x:v>450890.17830500007</x:v>
      </x:c>
      <x:c r="F20" s="15" t="n">
        <x:f>COUNT('30d Controls'!$K$362:$K$391)</x:f>
        <x:v>30</x:v>
      </x:c>
      <x:c r="G20" s="15" t="n">
        <x:f>AVERAGE('30d Controls'!$K$362:$K$391)</x:f>
        <x:v>77544.64894840002</x:v>
      </x:c>
      <x:c r="H20" s="15" t="n">
        <x:f>MEDIAN('30d Controls'!$K$362:$K$391)</x:f>
        <x:v>11674.493619500001</x:v>
      </x:c>
      <x:c r="I20" s="15" t="n">
        <x:f>SMALL('30d Controls'!$K$362:$K$391,MAX(1,ROUNDUP(F20*0.05,0)))</x:f>
        <x:v>7246.189547</x:v>
      </x:c>
      <x:c r="J20" s="15" t="n">
        <x:f>SMALL('30d Controls'!$K$362:$K$391,MAX(1,ROUNDUP(F20*0.95,0)))</x:f>
        <x:v>193308.729005</x:v>
      </x:c>
      <x:c r="K20" s="22" t="n">
        <x:f>COUNTIF('30d Controls'!$K$362:$K$391,"&lt;="&amp;E20)/F20</x:f>
        <x:v>0.9666666666666667</x:v>
      </x:c>
      <x:c r="L20" s="17" t="n">
        <x:f>COUNTIF('30d Controls'!$K$362:$K$391,"&gt;="&amp;E20)</x:f>
        <x:v>1</x:v>
      </x:c>
      <x:c r="M20" s="38" t="n">
        <x:f>(1+L20)/(F20+1)</x:f>
        <x:v>0.06451612903225806</x:v>
      </x:c>
    </x:row>
    <x:row r="21">
      <x:c r="A21" s="13" t="str">
        <x:v>Chain</x:v>
      </x:c>
      <x:c r="B21" s="13" t="str">
        <x:v>IBC gross (ATOM)</x:v>
      </x:c>
      <x:c r="C21" s="13" t="str">
        <x:v>all_360</x:v>
      </x:c>
      <x:c r="D21" s="13" t="str">
        <x:v>upper</x:v>
      </x:c>
      <x:c r="E21" s="15" t="n">
        <x:v>728878.1508520001</x:v>
      </x:c>
      <x:c r="F21" s="15" t="n">
        <x:f>COUNT('30d Controls'!$L$2:$L$361)</x:f>
        <x:v>360</x:v>
      </x:c>
      <x:c r="G21" s="15" t="n">
        <x:f>AVERAGE('30d Controls'!$L$2:$L$361)</x:f>
        <x:v>68465.2927329111</x:v>
      </x:c>
      <x:c r="H21" s="15" t="n">
        <x:f>MEDIAN('30d Controls'!$L$2:$L$361)</x:f>
        <x:v>23655.8408455</x:v>
      </x:c>
      <x:c r="I21" s="15" t="n">
        <x:f>SMALL('30d Controls'!$L$2:$L$361,MAX(1,ROUNDUP(F21*0.05,0)))</x:f>
        <x:v>5837.375764</x:v>
      </x:c>
      <x:c r="J21" s="15" t="n">
        <x:f>SMALL('30d Controls'!$L$2:$L$361,MAX(1,ROUNDUP(F21*0.95,0)))</x:f>
        <x:v>160932.402643</x:v>
      </x:c>
      <x:c r="K21" s="22" t="n">
        <x:f>COUNTIF('30d Controls'!$L$2:$L$361,"&lt;="&amp;E21)/F21</x:f>
        <x:v>0.9888888888888889</x:v>
      </x:c>
      <x:c r="L21" s="17" t="n">
        <x:f>COUNTIF('30d Controls'!$L$2:$L$361,"&gt;="&amp;E21)</x:f>
        <x:v>4</x:v>
      </x:c>
      <x:c r="M21" s="38" t="n">
        <x:f>(1+L21)/(F21+1)</x:f>
        <x:v>0.013850415512465374</x:v>
      </x:c>
    </x:row>
    <x:row r="22">
      <x:c r="A22" s="13" t="str">
        <x:v>Chain</x:v>
      </x:c>
      <x:c r="B22" s="13" t="str">
        <x:v>IBC gross (ATOM)</x:v>
      </x:c>
      <x:c r="C22" s="13" t="str">
        <x:v>matched_clock_30</x:v>
      </x:c>
      <x:c r="D22" s="13" t="str">
        <x:v>upper</x:v>
      </x:c>
      <x:c r="E22" s="15" t="n">
        <x:v>728878.1508520001</x:v>
      </x:c>
      <x:c r="F22" s="15" t="n">
        <x:f>COUNT('30d Controls'!$L$362:$L$391)</x:f>
        <x:v>30</x:v>
      </x:c>
      <x:c r="G22" s="15" t="n">
        <x:f>AVERAGE('30d Controls'!$L$362:$L$391)</x:f>
        <x:v>128576.70098626669</x:v>
      </x:c>
      <x:c r="H22" s="15" t="n">
        <x:f>MEDIAN('30d Controls'!$L$362:$L$391)</x:f>
        <x:v>25172.714539</x:v>
      </x:c>
      <x:c r="I22" s="15" t="n">
        <x:f>SMALL('30d Controls'!$L$362:$L$391,MAX(1,ROUNDUP(F22*0.05,0)))</x:f>
        <x:v>13737.315628</x:v>
      </x:c>
      <x:c r="J22" s="15" t="n">
        <x:f>SMALL('30d Controls'!$L$362:$L$391,MAX(1,ROUNDUP(F22*0.95,0)))</x:f>
        <x:v>217814.206915</x:v>
      </x:c>
      <x:c r="K22" s="22" t="n">
        <x:f>COUNTIF('30d Controls'!$L$362:$L$391,"&lt;="&amp;E22)/F22</x:f>
        <x:v>0.9666666666666667</x:v>
      </x:c>
      <x:c r="L22" s="17" t="n">
        <x:f>COUNTIF('30d Controls'!$L$362:$L$391,"&gt;="&amp;E22)</x:f>
        <x:v>1</x:v>
      </x:c>
      <x:c r="M22" s="38" t="n">
        <x:f>(1+L22)/(F22+1)</x:f>
        <x:v>0.06451612903225806</x:v>
      </x:c>
    </x:row>
    <x:row r="23">
      <x:c r="A23" s="13" t="str">
        <x:v>Chain</x:v>
      </x:c>
      <x:c r="B23" s="13" t="str">
        <x:v>IBC net inbound (ATOM)</x:v>
      </x:c>
      <x:c r="C23" s="13" t="str">
        <x:v>all_360</x:v>
      </x:c>
      <x:c r="D23" s="13" t="str">
        <x:v>two_sided_median</x:v>
      </x:c>
      <x:c r="E23" s="15" t="n">
        <x:v>-172902.20575800008</x:v>
      </x:c>
      <x:c r="F23" s="15" t="n">
        <x:f>COUNT('30d Controls'!$M$2:$M$361)</x:f>
        <x:v>360</x:v>
      </x:c>
      <x:c r="G23" s="15" t="n">
        <x:f>AVERAGE('30d Controls'!$M$2:$M$361)</x:f>
        <x:v>-12418.54167627222</x:v>
      </x:c>
      <x:c r="H23" s="15" t="n">
        <x:f>MEDIAN('30d Controls'!$M$2:$M$361)</x:f>
        <x:v>-312.5331540000001</x:v>
      </x:c>
      <x:c r="I23" s="15" t="n">
        <x:f>SMALL('30d Controls'!$M$2:$M$361,MAX(1,ROUNDUP(F23*0.05,0)))</x:f>
        <x:v>-42636.434010000004</x:v>
      </x:c>
      <x:c r="J23" s="15" t="n">
        <x:f>SMALL('30d Controls'!$M$2:$M$361,MAX(1,ROUNDUP(F23*0.95,0)))</x:f>
        <x:v>31725.195401</x:v>
      </x:c>
      <x:c r="K23" s="22" t="n">
        <x:f>COUNTIF('30d Controls'!$M$2:$M$361,"&lt;="&amp;E23)/F23</x:f>
        <x:v>0.016666666666666666</x:v>
      </x:c>
      <x:c r="L23" s="17" t="n">
        <x:f>COUNTIF('30d Controls'!$M$2:$M$361,"&gt;="&amp;(H23+ABS(E23-H23)))+COUNTIF('30d Controls'!$M$2:$M$361,"&lt;="&amp;(H23-ABS(E23-H23)))</x:f>
        <x:v>8</x:v>
      </x:c>
      <x:c r="M23" s="38" t="n">
        <x:f>(1+L23)/(F23+1)</x:f>
        <x:v>0.024930747922437674</x:v>
      </x:c>
    </x:row>
    <x:row r="24">
      <x:c r="A24" s="13" t="str">
        <x:v>Chain</x:v>
      </x:c>
      <x:c r="B24" s="13" t="str">
        <x:v>IBC net inbound (ATOM)</x:v>
      </x:c>
      <x:c r="C24" s="13" t="str">
        <x:v>matched_clock_30</x:v>
      </x:c>
      <x:c r="D24" s="13" t="str">
        <x:v>two_sided_median</x:v>
      </x:c>
      <x:c r="E24" s="15" t="n">
        <x:v>-172902.20575800008</x:v>
      </x:c>
      <x:c r="F24" s="15" t="n">
        <x:f>COUNT('30d Controls'!$M$362:$M$391)</x:f>
        <x:v>30</x:v>
      </x:c>
      <x:c r="G24" s="15" t="n">
        <x:f>AVERAGE('30d Controls'!$M$362:$M$391)</x:f>
        <x:v>-26512.59691053333</x:v>
      </x:c>
      <x:c r="H24" s="15" t="n">
        <x:f>MEDIAN('30d Controls'!$M$362:$M$391)</x:f>
        <x:v>-1970.2478690000007</x:v>
      </x:c>
      <x:c r="I24" s="15" t="n">
        <x:f>SMALL('30d Controls'!$M$362:$M$391,MAX(1,ROUNDUP(F24*0.05,0)))</x:f>
        <x:v>-168803.251095</x:v>
      </x:c>
      <x:c r="J24" s="15" t="n">
        <x:f>SMALL('30d Controls'!$M$362:$M$391,MAX(1,ROUNDUP(F24*0.95,0)))</x:f>
        <x:v>13532.749211</x:v>
      </x:c>
      <x:c r="K24" s="22" t="n">
        <x:f>COUNTIF('30d Controls'!$M$362:$M$391,"&lt;="&amp;E24)/F24</x:f>
        <x:v>0.03333333333333333</x:v>
      </x:c>
      <x:c r="L24" s="17" t="n">
        <x:f>COUNTIF('30d Controls'!$M$362:$M$391,"&gt;="&amp;(H24+ABS(E24-H24)))+COUNTIF('30d Controls'!$M$362:$M$391,"&lt;="&amp;(H24-ABS(E24-H24)))</x:f>
        <x:v>1</x:v>
      </x:c>
      <x:c r="M24" s="38" t="n">
        <x:f>(1+L24)/(F24+1)</x:f>
        <x:v>0.06451612903225806</x:v>
      </x:c>
    </x:row>
    <x:row r="25">
      <x:c r="A25" s="13" t="str">
        <x:v>Market</x:v>
      </x:c>
      <x:c r="B25" s="13" t="str">
        <x:v>Binance USDT range (% open)</x:v>
      </x:c>
      <x:c r="C25" s="13" t="str">
        <x:v>all_360</x:v>
      </x:c>
      <x:c r="D25" s="13" t="str">
        <x:v>upper</x:v>
      </x:c>
      <x:c r="E25" s="15" t="n">
        <x:v>100.00000000000003</x:v>
      </x:c>
      <x:c r="F25" s="15" t="n">
        <x:f>COUNT('30d Controls'!$N$2:$N$361)</x:f>
        <x:v>360</x:v>
      </x:c>
      <x:c r="G25" s="15" t="n">
        <x:f>AVERAGE('30d Controls'!$N$2:$N$361)</x:f>
        <x:v>1.1981935407625486</x:v>
      </x:c>
      <x:c r="H25" s="15" t="n">
        <x:f>MEDIAN('30d Controls'!$N$2:$N$361)</x:f>
        <x:v>1.028828197079179</x:v>
      </x:c>
      <x:c r="I25" s="15" t="n">
        <x:f>SMALL('30d Controls'!$N$2:$N$361,MAX(1,ROUNDUP(F25*0.05,0)))</x:f>
        <x:v>0.5802276277616757</x:v>
      </x:c>
      <x:c r="J25" s="15" t="n">
        <x:f>SMALL('30d Controls'!$N$2:$N$361,MAX(1,ROUNDUP(F25*0.95,0)))</x:f>
        <x:v>2.3351982486013156</x:v>
      </x:c>
      <x:c r="K25" s="22" t="n">
        <x:f>COUNTIF('30d Controls'!$N$2:$N$361,"&lt;="&amp;E25)/F25</x:f>
        <x:v>1</x:v>
      </x:c>
      <x:c r="L25" s="17" t="n">
        <x:f>COUNTIF('30d Controls'!$N$2:$N$361,"&gt;="&amp;E25)</x:f>
        <x:v>0</x:v>
      </x:c>
      <x:c r="M25" s="38" t="n">
        <x:f>(1+L25)/(F25+1)</x:f>
        <x:v>0.002770083102493075</x:v>
      </x:c>
    </x:row>
    <x:row r="26">
      <x:c r="A26" s="13" t="str">
        <x:v>Market</x:v>
      </x:c>
      <x:c r="B26" s="13" t="str">
        <x:v>Binance USDT range (% open)</x:v>
      </x:c>
      <x:c r="C26" s="13" t="str">
        <x:v>matched_clock_30</x:v>
      </x:c>
      <x:c r="D26" s="13" t="str">
        <x:v>upper</x:v>
      </x:c>
      <x:c r="E26" s="15" t="n">
        <x:v>100.00000000000003</x:v>
      </x:c>
      <x:c r="F26" s="15" t="n">
        <x:f>COUNT('30d Controls'!$N$362:$N$391)</x:f>
        <x:v>30</x:v>
      </x:c>
      <x:c r="G26" s="15" t="n">
        <x:f>AVERAGE('30d Controls'!$N$362:$N$391)</x:f>
        <x:v>0.9798361142823705</x:v>
      </x:c>
      <x:c r="H26" s="15" t="n">
        <x:f>MEDIAN('30d Controls'!$N$362:$N$391)</x:f>
        <x:v>0.8202915967656419</x:v>
      </x:c>
      <x:c r="I26" s="15" t="n">
        <x:f>SMALL('30d Controls'!$N$362:$N$391,MAX(1,ROUNDUP(F26*0.05,0)))</x:f>
        <x:v>0.5374121537825506</x:v>
      </x:c>
      <x:c r="J26" s="15" t="n">
        <x:f>SMALL('30d Controls'!$N$362:$N$391,MAX(1,ROUNDUP(F26*0.95,0)))</x:f>
        <x:v>2.053140096618357</x:v>
      </x:c>
      <x:c r="K26" s="22" t="n">
        <x:f>COUNTIF('30d Controls'!$N$362:$N$391,"&lt;="&amp;E26)/F26</x:f>
        <x:v>1</x:v>
      </x:c>
      <x:c r="L26" s="17" t="n">
        <x:f>COUNTIF('30d Controls'!$N$362:$N$391,"&gt;="&amp;E26)</x:f>
        <x:v>0</x:v>
      </x:c>
      <x:c r="M26" s="38" t="n">
        <x:f>(1+L26)/(F26+1)</x:f>
        <x:v>0.03225806451612903</x:v>
      </x:c>
    </x:row>
    <x:row r="27">
      <x:c r="A27" s="13" t="str">
        <x:v>Market</x:v>
      </x:c>
      <x:c r="B27" s="13" t="str">
        <x:v>Binance USDT base volume (ATOM)</x:v>
      </x:c>
      <x:c r="C27" s="13" t="str">
        <x:v>all_360</x:v>
      </x:c>
      <x:c r="D27" s="13" t="str">
        <x:v>upper</x:v>
      </x:c>
      <x:c r="E27" s="15" t="n">
        <x:v>5816796.61</x:v>
      </x:c>
      <x:c r="F27" s="15" t="n">
        <x:f>COUNT('30d Controls'!$O$2:$O$361)</x:f>
        <x:v>360</x:v>
      </x:c>
      <x:c r="G27" s="15" t="n">
        <x:f>AVERAGE('30d Controls'!$O$2:$O$361)</x:f>
        <x:v>151808.9768333333</x:v>
      </x:c>
      <x:c r="H27" s="15" t="n">
        <x:f>MEDIAN('30d Controls'!$O$2:$O$361)</x:f>
        <x:v>117057.04000000001</x:v>
      </x:c>
      <x:c r="I27" s="15" t="n">
        <x:f>SMALL('30d Controls'!$O$2:$O$361,MAX(1,ROUNDUP(F27*0.05,0)))</x:f>
        <x:v>51709.37</x:v>
      </x:c>
      <x:c r="J27" s="15" t="n">
        <x:f>SMALL('30d Controls'!$O$2:$O$361,MAX(1,ROUNDUP(F27*0.95,0)))</x:f>
        <x:v>373062.52999999997</x:v>
      </x:c>
      <x:c r="K27" s="22" t="n">
        <x:f>COUNTIF('30d Controls'!$O$2:$O$361,"&lt;="&amp;E27)/F27</x:f>
        <x:v>1</x:v>
      </x:c>
      <x:c r="L27" s="17" t="n">
        <x:f>COUNTIF('30d Controls'!$O$2:$O$361,"&gt;="&amp;E27)</x:f>
        <x:v>0</x:v>
      </x:c>
      <x:c r="M27" s="38" t="n">
        <x:f>(1+L27)/(F27+1)</x:f>
        <x:v>0.002770083102493075</x:v>
      </x:c>
    </x:row>
    <x:row r="28">
      <x:c r="A28" s="13" t="str">
        <x:v>Market</x:v>
      </x:c>
      <x:c r="B28" s="13" t="str">
        <x:v>Binance USDT base volume (ATOM)</x:v>
      </x:c>
      <x:c r="C28" s="13" t="str">
        <x:v>matched_clock_30</x:v>
      </x:c>
      <x:c r="D28" s="13" t="str">
        <x:v>upper</x:v>
      </x:c>
      <x:c r="E28" s="15" t="n">
        <x:v>5816796.61</x:v>
      </x:c>
      <x:c r="F28" s="15" t="n">
        <x:f>COUNT('30d Controls'!$O$362:$O$391)</x:f>
        <x:v>30</x:v>
      </x:c>
      <x:c r="G28" s="15" t="n">
        <x:f>AVERAGE('30d Controls'!$O$362:$O$391)</x:f>
        <x:v>127799.77699999997</x:v>
      </x:c>
      <x:c r="H28" s="15" t="n">
        <x:f>MEDIAN('30d Controls'!$O$362:$O$391)</x:f>
        <x:v>88663.335</x:v>
      </x:c>
      <x:c r="I28" s="15" t="n">
        <x:f>SMALL('30d Controls'!$O$362:$O$391,MAX(1,ROUNDUP(F28*0.05,0)))</x:f>
        <x:v>52179.68</x:v>
      </x:c>
      <x:c r="J28" s="15" t="n">
        <x:f>SMALL('30d Controls'!$O$362:$O$391,MAX(1,ROUNDUP(F28*0.95,0)))</x:f>
        <x:v>187514.38</x:v>
      </x:c>
      <x:c r="K28" s="22" t="n">
        <x:f>COUNTIF('30d Controls'!$O$362:$O$391,"&lt;="&amp;E28)/F28</x:f>
        <x:v>1</x:v>
      </x:c>
      <x:c r="L28" s="17" t="n">
        <x:f>COUNTIF('30d Controls'!$O$362:$O$391,"&gt;="&amp;E28)</x:f>
        <x:v>0</x:v>
      </x:c>
      <x:c r="M28" s="38" t="n">
        <x:f>(1+L28)/(F28+1)</x:f>
        <x:v>0.03225806451612903</x:v>
      </x:c>
    </x:row>
    <x:row r="29">
      <x:c r="A29" s="13" t="str">
        <x:v>Market</x:v>
      </x:c>
      <x:c r="B29" s="13" t="str">
        <x:v>Binance USDT quote volume</x:v>
      </x:c>
      <x:c r="C29" s="13" t="str">
        <x:v>all_360</x:v>
      </x:c>
      <x:c r="D29" s="13" t="str">
        <x:v>upper</x:v>
      </x:c>
      <x:c r="E29" s="15" t="n">
        <x:v>16718891.501947999</x:v>
      </x:c>
      <x:c r="F29" s="15" t="n">
        <x:f>COUNT('30d Controls'!$P$2:$P$361)</x:f>
        <x:v>360</x:v>
      </x:c>
      <x:c r="G29" s="15" t="n">
        <x:f>AVERAGE('30d Controls'!$P$2:$P$361)</x:f>
        <x:v>653178.5697577507</x:v>
      </x:c>
      <x:c r="H29" s="15" t="n">
        <x:f>MEDIAN('30d Controls'!$P$2:$P$361)</x:f>
        <x:v>505306.34427500004</x:v>
      </x:c>
      <x:c r="I29" s="15" t="n">
        <x:f>SMALL('30d Controls'!$P$2:$P$361,MAX(1,ROUNDUP(F29*0.05,0)))</x:f>
        <x:v>232297.23529</x:v>
      </x:c>
      <x:c r="J29" s="15" t="n">
        <x:f>SMALL('30d Controls'!$P$2:$P$361,MAX(1,ROUNDUP(F29*0.95,0)))</x:f>
        <x:v>1603293.65244</x:v>
      </x:c>
      <x:c r="K29" s="22" t="n">
        <x:f>COUNTIF('30d Controls'!$P$2:$P$361,"&lt;="&amp;E29)/F29</x:f>
        <x:v>1</x:v>
      </x:c>
      <x:c r="L29" s="17" t="n">
        <x:f>COUNTIF('30d Controls'!$P$2:$P$361,"&gt;="&amp;E29)</x:f>
        <x:v>0</x:v>
      </x:c>
      <x:c r="M29" s="38" t="n">
        <x:f>(1+L29)/(F29+1)</x:f>
        <x:v>0.002770083102493075</x:v>
      </x:c>
    </x:row>
    <x:row r="30">
      <x:c r="A30" s="13" t="str">
        <x:v>Market</x:v>
      </x:c>
      <x:c r="B30" s="13" t="str">
        <x:v>Binance USDT quote volume</x:v>
      </x:c>
      <x:c r="C30" s="13" t="str">
        <x:v>matched_clock_30</x:v>
      </x:c>
      <x:c r="D30" s="13" t="str">
        <x:v>upper</x:v>
      </x:c>
      <x:c r="E30" s="15" t="n">
        <x:v>16718891.501947999</x:v>
      </x:c>
      <x:c r="F30" s="15" t="n">
        <x:f>COUNT('30d Controls'!$P$362:$P$391)</x:f>
        <x:v>30</x:v>
      </x:c>
      <x:c r="G30" s="15" t="n">
        <x:f>AVERAGE('30d Controls'!$P$362:$P$391)</x:f>
        <x:v>547177.2814873335</x:v>
      </x:c>
      <x:c r="H30" s="15" t="n">
        <x:f>MEDIAN('30d Controls'!$P$362:$P$391)</x:f>
        <x:v>372442.031025</x:v>
      </x:c>
      <x:c r="I30" s="15" t="n">
        <x:f>SMALL('30d Controls'!$P$362:$P$391,MAX(1,ROUNDUP(F30*0.05,0)))</x:f>
        <x:v>231411.58805</x:v>
      </x:c>
      <x:c r="J30" s="15" t="n">
        <x:f>SMALL('30d Controls'!$P$362:$P$391,MAX(1,ROUNDUP(F30*0.95,0)))</x:f>
        <x:v>879760.8796399999</x:v>
      </x:c>
      <x:c r="K30" s="22" t="n">
        <x:f>COUNTIF('30d Controls'!$P$362:$P$391,"&lt;="&amp;E30)/F30</x:f>
        <x:v>1</x:v>
      </x:c>
      <x:c r="L30" s="17" t="n">
        <x:f>COUNTIF('30d Controls'!$P$362:$P$391,"&gt;="&amp;E30)</x:f>
        <x:v>0</x:v>
      </x:c>
      <x:c r="M30" s="38" t="n">
        <x:f>(1+L30)/(F30+1)</x:f>
        <x:v>0.03225806451612903</x:v>
      </x:c>
    </x:row>
    <x:row r="31">
      <x:c r="A31" s="13" t="str">
        <x:v>Market</x:v>
      </x:c>
      <x:c r="B31" s="13" t="str">
        <x:v>Binance USDT trade count</x:v>
      </x:c>
      <x:c r="C31" s="13" t="str">
        <x:v>all_360</x:v>
      </x:c>
      <x:c r="D31" s="13" t="str">
        <x:v>upper</x:v>
      </x:c>
      <x:c r="E31" s="15" t="n">
        <x:v>202008</x:v>
      </x:c>
      <x:c r="F31" s="15" t="n">
        <x:f>COUNT('30d Controls'!$Q$2:$Q$361)</x:f>
        <x:v>360</x:v>
      </x:c>
      <x:c r="G31" s="15" t="n">
        <x:f>AVERAGE('30d Controls'!$Q$2:$Q$361)</x:f>
        <x:v>3799.8083333333334</x:v>
      </x:c>
      <x:c r="H31" s="15" t="n">
        <x:f>MEDIAN('30d Controls'!$Q$2:$Q$361)</x:f>
        <x:v>3045</x:v>
      </x:c>
      <x:c r="I31" s="15" t="n">
        <x:f>SMALL('30d Controls'!$Q$2:$Q$361,MAX(1,ROUNDUP(F31*0.05,0)))</x:f>
        <x:v>1607</x:v>
      </x:c>
      <x:c r="J31" s="15" t="n">
        <x:f>SMALL('30d Controls'!$Q$2:$Q$361,MAX(1,ROUNDUP(F31*0.95,0)))</x:f>
        <x:v>8296</x:v>
      </x:c>
      <x:c r="K31" s="22" t="n">
        <x:f>COUNTIF('30d Controls'!$Q$2:$Q$361,"&lt;="&amp;E31)/F31</x:f>
        <x:v>1</x:v>
      </x:c>
      <x:c r="L31" s="17" t="n">
        <x:f>COUNTIF('30d Controls'!$Q$2:$Q$361,"&gt;="&amp;E31)</x:f>
        <x:v>0</x:v>
      </x:c>
      <x:c r="M31" s="38" t="n">
        <x:f>(1+L31)/(F31+1)</x:f>
        <x:v>0.002770083102493075</x:v>
      </x:c>
    </x:row>
    <x:row r="32">
      <x:c r="A32" s="13" t="str">
        <x:v>Market</x:v>
      </x:c>
      <x:c r="B32" s="13" t="str">
        <x:v>Binance USDT trade count</x:v>
      </x:c>
      <x:c r="C32" s="13" t="str">
        <x:v>matched_clock_30</x:v>
      </x:c>
      <x:c r="D32" s="13" t="str">
        <x:v>upper</x:v>
      </x:c>
      <x:c r="E32" s="15" t="n">
        <x:v>202008</x:v>
      </x:c>
      <x:c r="F32" s="15" t="n">
        <x:f>COUNT('30d Controls'!$Q$362:$Q$391)</x:f>
        <x:v>30</x:v>
      </x:c>
      <x:c r="G32" s="15" t="n">
        <x:f>AVERAGE('30d Controls'!$Q$362:$Q$391)</x:f>
        <x:v>2911.4</x:v>
      </x:c>
      <x:c r="H32" s="15" t="n">
        <x:f>MEDIAN('30d Controls'!$Q$362:$Q$391)</x:f>
        <x:v>2237.5</x:v>
      </x:c>
      <x:c r="I32" s="15" t="n">
        <x:f>SMALL('30d Controls'!$Q$362:$Q$391,MAX(1,ROUNDUP(F32*0.05,0)))</x:f>
        <x:v>1633</x:v>
      </x:c>
      <x:c r="J32" s="15" t="n">
        <x:f>SMALL('30d Controls'!$Q$362:$Q$391,MAX(1,ROUNDUP(F32*0.95,0)))</x:f>
        <x:v>5363</x:v>
      </x:c>
      <x:c r="K32" s="22" t="n">
        <x:f>COUNTIF('30d Controls'!$Q$362:$Q$391,"&lt;="&amp;E32)/F32</x:f>
        <x:v>1</x:v>
      </x:c>
      <x:c r="L32" s="17" t="n">
        <x:f>COUNTIF('30d Controls'!$Q$362:$Q$391,"&gt;="&amp;E32)</x:f>
        <x:v>0</x:v>
      </x:c>
      <x:c r="M32" s="38" t="n">
        <x:f>(1+L32)/(F32+1)</x:f>
        <x:v>0.03225806451612903</x:v>
      </x:c>
    </x:row>
    <x:row r="33">
      <x:c r="A33" s="13" t="str">
        <x:v>Market</x:v>
      </x:c>
      <x:c r="B33" s="13" t="str">
        <x:v>Binance realized abs return (%)</x:v>
      </x:c>
      <x:c r="C33" s="13" t="str">
        <x:v>all_360</x:v>
      </x:c>
      <x:c r="D33" s="13" t="str">
        <x:v>upper</x:v>
      </x:c>
      <x:c r="E33" s="15" t="n">
        <x:v>229.78868793515065</x:v>
      </x:c>
      <x:c r="F33" s="15" t="n">
        <x:f>COUNT('30d Controls'!$R$2:$R$361)</x:f>
        <x:v>360</x:v>
      </x:c>
      <x:c r="G33" s="15" t="n">
        <x:f>AVERAGE('30d Controls'!$R$2:$R$361)</x:f>
        <x:v>6.332028122292213</x:v>
      </x:c>
      <x:c r="H33" s="15" t="n">
        <x:f>MEDIAN('30d Controls'!$R$2:$R$361)</x:f>
        <x:v>5.923987245375518</x:v>
      </x:c>
      <x:c r="I33" s="15" t="n">
        <x:f>SMALL('30d Controls'!$R$2:$R$361,MAX(1,ROUNDUP(F33*0.05,0)))</x:f>
        <x:v>3.9839955183181397</x:v>
      </x:c>
      <x:c r="J33" s="15" t="n">
        <x:f>SMALL('30d Controls'!$R$2:$R$361,MAX(1,ROUNDUP(F33*0.95,0)))</x:f>
        <x:v>9.915246121888256</x:v>
      </x:c>
      <x:c r="K33" s="22" t="n">
        <x:f>COUNTIF('30d Controls'!$R$2:$R$361,"&lt;="&amp;E33)/F33</x:f>
        <x:v>1</x:v>
      </x:c>
      <x:c r="L33" s="17" t="n">
        <x:f>COUNTIF('30d Controls'!$R$2:$R$361,"&gt;="&amp;E33)</x:f>
        <x:v>0</x:v>
      </x:c>
      <x:c r="M33" s="38" t="n">
        <x:f>(1+L33)/(F33+1)</x:f>
        <x:v>0.002770083102493075</x:v>
      </x:c>
    </x:row>
    <x:row r="34">
      <x:c r="A34" s="13" t="str">
        <x:v>Market</x:v>
      </x:c>
      <x:c r="B34" s="13" t="str">
        <x:v>Binance realized abs return (%)</x:v>
      </x:c>
      <x:c r="C34" s="13" t="str">
        <x:v>matched_clock_30</x:v>
      </x:c>
      <x:c r="D34" s="13" t="str">
        <x:v>upper</x:v>
      </x:c>
      <x:c r="E34" s="15" t="n">
        <x:v>229.78868793515065</x:v>
      </x:c>
      <x:c r="F34" s="15" t="n">
        <x:f>COUNT('30d Controls'!$R$362:$R$391)</x:f>
        <x:v>30</x:v>
      </x:c>
      <x:c r="G34" s="15" t="n">
        <x:f>AVERAGE('30d Controls'!$R$362:$R$391)</x:f>
        <x:v>5.442503139765773</x:v>
      </x:c>
      <x:c r="H34" s="15" t="n">
        <x:f>MEDIAN('30d Controls'!$R$362:$R$391)</x:f>
        <x:v>5.409659190934035</x:v>
      </x:c>
      <x:c r="I34" s="15" t="n">
        <x:f>SMALL('30d Controls'!$R$362:$R$391,MAX(1,ROUNDUP(F34*0.05,0)))</x:f>
        <x:v>3.669129506377744</x:v>
      </x:c>
      <x:c r="J34" s="15" t="n">
        <x:f>SMALL('30d Controls'!$R$362:$R$391,MAX(1,ROUNDUP(F34*0.95,0)))</x:f>
        <x:v>9.624071216916551</x:v>
      </x:c>
      <x:c r="K34" s="22" t="n">
        <x:f>COUNTIF('30d Controls'!$R$362:$R$391,"&lt;="&amp;E34)/F34</x:f>
        <x:v>1</x:v>
      </x:c>
      <x:c r="L34" s="17" t="n">
        <x:f>COUNTIF('30d Controls'!$R$362:$R$391,"&gt;="&amp;E34)</x:f>
        <x:v>0</x:v>
      </x:c>
      <x:c r="M34" s="38" t="n">
        <x:f>(1+L34)/(F34+1)</x:f>
        <x:v>0.03225806451612903</x:v>
      </x:c>
    </x:row>
    <x:row r="35">
      <x:c r="A35" s="13" t="str">
        <x:v>Market</x:v>
      </x:c>
      <x:c r="B35" s="13" t="str">
        <x:v>Max USDT discount vs USDC (%)</x:v>
      </x:c>
      <x:c r="C35" s="13" t="str">
        <x:v>all_360</x:v>
      </x:c>
      <x:c r="D35" s="13" t="str">
        <x:v>upper</x:v>
      </x:c>
      <x:c r="E35" s="15" t="n">
        <x:v>99.937106918239</x:v>
      </x:c>
      <x:c r="F35" s="15" t="n">
        <x:f>COUNT('30d Controls'!$S$2:$S$361)</x:f>
        <x:v>360</x:v>
      </x:c>
      <x:c r="G35" s="15" t="n">
        <x:f>AVERAGE('30d Controls'!$S$2:$S$361)</x:f>
        <x:v>0.1957932737315485</x:v>
      </x:c>
      <x:c r="H35" s="15" t="n">
        <x:f>MEDIAN('30d Controls'!$S$2:$S$361)</x:f>
        <x:v>0.17873104551472396</x:v>
      </x:c>
      <x:c r="I35" s="15" t="n">
        <x:f>SMALL('30d Controls'!$S$2:$S$361,MAX(1,ROUNDUP(F35*0.05,0)))</x:f>
        <x:v>0.10815487778498278</x:v>
      </x:c>
      <x:c r="J35" s="15" t="n">
        <x:f>SMALL('30d Controls'!$S$2:$S$361,MAX(1,ROUNDUP(F35*0.95,0)))</x:f>
        <x:v>0.2713369511593511</x:v>
      </x:c>
      <x:c r="K35" s="22" t="n">
        <x:f>COUNTIF('30d Controls'!$S$2:$S$361,"&lt;="&amp;E35)/F35</x:f>
        <x:v>1</x:v>
      </x:c>
      <x:c r="L35" s="17" t="n">
        <x:f>COUNTIF('30d Controls'!$S$2:$S$361,"&gt;="&amp;E35)</x:f>
        <x:v>0</x:v>
      </x:c>
      <x:c r="M35" s="38" t="n">
        <x:f>(1+L35)/(F35+1)</x:f>
        <x:v>0.002770083102493075</x:v>
      </x:c>
    </x:row>
    <x:row r="36">
      <x:c r="A36" s="13" t="str">
        <x:v>Market</x:v>
      </x:c>
      <x:c r="B36" s="13" t="str">
        <x:v>Max USDT discount vs USDC (%)</x:v>
      </x:c>
      <x:c r="C36" s="13" t="str">
        <x:v>matched_clock_30</x:v>
      </x:c>
      <x:c r="D36" s="13" t="str">
        <x:v>upper</x:v>
      </x:c>
      <x:c r="E36" s="15" t="n">
        <x:v>99.937106918239</x:v>
      </x:c>
      <x:c r="F36" s="15" t="n">
        <x:f>COUNT('30d Controls'!$S$362:$S$391)</x:f>
        <x:v>30</x:v>
      </x:c>
      <x:c r="G36" s="15" t="n">
        <x:f>AVERAGE('30d Controls'!$S$362:$S$391)</x:f>
        <x:v>0.1778441616562979</x:v>
      </x:c>
      <x:c r="H36" s="15" t="n">
        <x:f>MEDIAN('30d Controls'!$S$362:$S$391)</x:f>
        <x:v>0.1718072816083993</x:v>
      </x:c>
      <x:c r="I36" s="15" t="n">
        <x:f>SMALL('30d Controls'!$S$362:$S$391,MAX(1,ROUNDUP(F36*0.05,0)))</x:f>
        <x:v>0.11086474501108556</x:v>
      </x:c>
      <x:c r="J36" s="15" t="n">
        <x:f>SMALL('30d Controls'!$S$362:$S$391,MAX(1,ROUNDUP(F36*0.95,0)))</x:f>
        <x:v>0.2682272616435055</x:v>
      </x:c>
      <x:c r="K36" s="22" t="n">
        <x:f>COUNTIF('30d Controls'!$S$362:$S$391,"&lt;="&amp;E36)/F36</x:f>
        <x:v>1</x:v>
      </x:c>
      <x:c r="L36" s="17" t="n">
        <x:f>COUNTIF('30d Controls'!$S$362:$S$391,"&gt;="&amp;E36)</x:f>
        <x:v>0</x:v>
      </x:c>
      <x:c r="M36" s="38" t="n">
        <x:f>(1+L36)/(F36+1)</x:f>
        <x:v>0.03225806451612903</x:v>
      </x:c>
    </x:row>
    <x:row r="37">
      <x:c r="A37" s="13" t="str">
        <x:v>Market</x:v>
      </x:c>
      <x:c r="B37" s="13" t="str">
        <x:v>Max USDT discount vs mark (%)</x:v>
      </x:c>
      <x:c r="C37" s="13" t="str">
        <x:v>all_360</x:v>
      </x:c>
      <x:c r="D37" s="13" t="str">
        <x:v>upper</x:v>
      </x:c>
      <x:c r="E37" s="15" t="n">
        <x:v>99.93353140973234</x:v>
      </x:c>
      <x:c r="F37" s="15" t="n">
        <x:f>COUNT('30d Controls'!$T$2:$T$361)</x:f>
        <x:v>360</x:v>
      </x:c>
      <x:c r="G37" s="15" t="n">
        <x:f>AVERAGE('30d Controls'!$T$2:$T$361)</x:f>
        <x:v>0.03649727598493908</x:v>
      </x:c>
      <x:c r="H37" s="15" t="n">
        <x:f>MEDIAN('30d Controls'!$T$2:$T$361)</x:f>
        <x:v>0.005535138174678211</x:v>
      </x:c>
      <x:c r="I37" s="15" t="n">
        <x:f>SMALL('30d Controls'!$T$2:$T$361,MAX(1,ROUNDUP(F37*0.05,0)))</x:f>
        <x:v>-0.033818386528117195</x:v>
      </x:c>
      <x:c r="J37" s="15" t="n">
        <x:f>SMALL('30d Controls'!$T$2:$T$361,MAX(1,ROUNDUP(F37*0.95,0)))</x:f>
        <x:v>0.14996422507778107</x:v>
      </x:c>
      <x:c r="K37" s="22" t="n">
        <x:f>COUNTIF('30d Controls'!$T$2:$T$361,"&lt;="&amp;E37)/F37</x:f>
        <x:v>1</x:v>
      </x:c>
      <x:c r="L37" s="17" t="n">
        <x:f>COUNTIF('30d Controls'!$T$2:$T$361,"&gt;="&amp;E37)</x:f>
        <x:v>0</x:v>
      </x:c>
      <x:c r="M37" s="38" t="n">
        <x:f>(1+L37)/(F37+1)</x:f>
        <x:v>0.002770083102493075</x:v>
      </x:c>
    </x:row>
    <x:row r="38">
      <x:c r="A38" s="13" t="str">
        <x:v>Market</x:v>
      </x:c>
      <x:c r="B38" s="13" t="str">
        <x:v>Max USDT discount vs mark (%)</x:v>
      </x:c>
      <x:c r="C38" s="13" t="str">
        <x:v>matched_clock_30</x:v>
      </x:c>
      <x:c r="D38" s="13" t="str">
        <x:v>upper</x:v>
      </x:c>
      <x:c r="E38" s="15" t="n">
        <x:v>99.93353140973234</x:v>
      </x:c>
      <x:c r="F38" s="15" t="n">
        <x:f>COUNT('30d Controls'!$T$362:$T$391)</x:f>
        <x:v>30</x:v>
      </x:c>
      <x:c r="G38" s="15" t="n">
        <x:f>AVERAGE('30d Controls'!$T$362:$T$391)</x:f>
        <x:v>0.012138951991517896</x:v>
      </x:c>
      <x:c r="H38" s="15" t="n">
        <x:f>MEDIAN('30d Controls'!$T$362:$T$391)</x:f>
        <x:v>0.0027317278454341842</x:v>
      </x:c>
      <x:c r="I38" s="15" t="n">
        <x:f>SMALL('30d Controls'!$T$362:$T$391,MAX(1,ROUNDUP(F38*0.05,0)))</x:f>
        <x:v>-0.036341611144741215</x:v>
      </x:c>
      <x:c r="J38" s="15" t="n">
        <x:f>SMALL('30d Controls'!$T$362:$T$391,MAX(1,ROUNDUP(F38*0.95,0)))</x:f>
        <x:v>0.09789525208028227</x:v>
      </x:c>
      <x:c r="K38" s="22" t="n">
        <x:f>COUNTIF('30d Controls'!$T$362:$T$391,"&lt;="&amp;E38)/F38</x:f>
        <x:v>1</x:v>
      </x:c>
      <x:c r="L38" s="17" t="n">
        <x:f>COUNTIF('30d Controls'!$T$362:$T$391,"&gt;="&amp;E38)</x:f>
        <x:v>0</x:v>
      </x:c>
      <x:c r="M38" s="38" t="n">
        <x:f>(1+L38)/(F38+1)</x:f>
        <x:v>0.03225806451612903</x:v>
      </x:c>
    </x:row>
    <x:row r="39">
      <x:c r="A39" s="13" t="str">
        <x:v>Market</x:v>
      </x:c>
      <x:c r="B39" s="13" t="str">
        <x:v>Max USDT discount vs Coinbase (%)</x:v>
      </x:c>
      <x:c r="C39" s="13" t="str">
        <x:v>all_360</x:v>
      </x:c>
      <x:c r="D39" s="13" t="str">
        <x:v>upper</x:v>
      </x:c>
      <x:c r="E39" s="15" t="n">
        <x:v>99.97191011235955</x:v>
      </x:c>
      <x:c r="F39" s="15" t="n">
        <x:f>COUNT('30d Controls'!$U$2:$U$361)</x:f>
        <x:v>360</x:v>
      </x:c>
      <x:c r="G39" s="15" t="n">
        <x:f>AVERAGE('30d Controls'!$U$2:$U$361)</x:f>
        <x:v>0.17117640066718842</x:v>
      </x:c>
      <x:c r="H39" s="15" t="n">
        <x:f>MEDIAN('30d Controls'!$U$2:$U$361)</x:f>
        <x:v>0.14873578271744625</x:v>
      </x:c>
      <x:c r="I39" s="15" t="n">
        <x:f>SMALL('30d Controls'!$U$2:$U$361,MAX(1,ROUNDUP(F39*0.05,0)))</x:f>
        <x:v>0.0962927298988836</x:v>
      </x:c>
      <x:c r="J39" s="15" t="n">
        <x:f>SMALL('30d Controls'!$U$2:$U$361,MAX(1,ROUNDUP(F39*0.95,0)))</x:f>
        <x:v>0.23671185711211518</x:v>
      </x:c>
      <x:c r="K39" s="22" t="n">
        <x:f>COUNTIF('30d Controls'!$U$2:$U$361,"&lt;="&amp;E39)/F39</x:f>
        <x:v>1</x:v>
      </x:c>
      <x:c r="L39" s="17" t="n">
        <x:f>COUNTIF('30d Controls'!$U$2:$U$361,"&gt;="&amp;E39)</x:f>
        <x:v>0</x:v>
      </x:c>
      <x:c r="M39" s="38" t="n">
        <x:f>(1+L39)/(F39+1)</x:f>
        <x:v>0.002770083102493075</x:v>
      </x:c>
    </x:row>
    <x:row r="40">
      <x:c r="A40" s="13" t="str">
        <x:v>Market</x:v>
      </x:c>
      <x:c r="B40" s="13" t="str">
        <x:v>Max USDT discount vs Coinbase (%)</x:v>
      </x:c>
      <x:c r="C40" s="13" t="str">
        <x:v>matched_clock_30</x:v>
      </x:c>
      <x:c r="D40" s="13" t="str">
        <x:v>upper</x:v>
      </x:c>
      <x:c r="E40" s="15" t="n">
        <x:v>99.97191011235955</x:v>
      </x:c>
      <x:c r="F40" s="15" t="n">
        <x:f>COUNT('30d Controls'!$U$362:$U$391)</x:f>
        <x:v>30</x:v>
      </x:c>
      <x:c r="G40" s="15" t="n">
        <x:f>AVERAGE('30d Controls'!$U$362:$U$391)</x:f>
        <x:v>0.15205857714859347</x:v>
      </x:c>
      <x:c r="H40" s="15" t="n">
        <x:f>MEDIAN('30d Controls'!$U$362:$U$391)</x:f>
        <x:v>0.1489289703548835</x:v>
      </x:c>
      <x:c r="I40" s="15" t="n">
        <x:f>SMALL('30d Controls'!$U$362:$U$391,MAX(1,ROUNDUP(F40*0.05,0)))</x:f>
        <x:v>0.10768899418479583</x:v>
      </x:c>
      <x:c r="J40" s="15" t="n">
        <x:f>SMALL('30d Controls'!$U$362:$U$391,MAX(1,ROUNDUP(F40*0.95,0)))</x:f>
        <x:v>0.21828765462043043</x:v>
      </x:c>
      <x:c r="K40" s="22" t="n">
        <x:f>COUNTIF('30d Controls'!$U$362:$U$391,"&lt;="&amp;E40)/F40</x:f>
        <x:v>1</x:v>
      </x:c>
      <x:c r="L40" s="17" t="n">
        <x:f>COUNTIF('30d Controls'!$U$362:$U$391,"&gt;="&amp;E40)</x:f>
        <x:v>0</x:v>
      </x:c>
      <x:c r="M40" s="38" t="n">
        <x:f>(1+L40)/(F40+1)</x:f>
        <x:v>0.03225806451612903</x:v>
      </x:c>
    </x:row>
  </x:sheetData>
  <x:mergeCells>
    <x:mergeCell ref="A1:M2"/>
  </x:mergeCells>
  <x:conditionalFormatting sqref="M5:M40">
    <x:cfRule type="cellIs" dxfId="10" priority="1" operator="lessThanOrEqual">
      <x:formula>0.05</x:formula>
    </x:cfRule>
  </x:conditionalFormatting>
  <x:conditionalFormatting sqref="K5:K40">
    <x:cfRule type="cellIs" dxfId="11" priority="2" operator="greaterThanOrEqual">
      <x:formula>0.95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>
      <x:c r="A1" s="9" t="str">
        <x:v>Control set</x:v>
      </x:c>
      <x:c r="B1" s="10" t="str">
        <x:v>Start UTC</x:v>
      </x:c>
      <x:c r="C1" s="10" t="str">
        <x:v>End UTC</x:v>
      </x:c>
      <x:c r="D1" s="10" t="str">
        <x:v>confirmed_exchange_in_atom</x:v>
      </x:c>
      <x:c r="E1" s="10" t="str">
        <x:v>confirmed_exchange_out_atom</x:v>
      </x:c>
      <x:c r="F1" s="10" t="str">
        <x:v>confirmed_exchange_gross_atom</x:v>
      </x:c>
      <x:c r="G1" s="10" t="str">
        <x:v>confirmed_exchange_net_in_atom</x:v>
      </x:c>
      <x:c r="H1" s="10" t="str">
        <x:v>unconfirmed_behavioral_in_atom</x:v>
      </x:c>
      <x:c r="I1" s="10" t="str">
        <x:v>all_behavioral_candidate_in_atom</x:v>
      </x:c>
      <x:c r="J1" s="10" t="str">
        <x:v>ibc_inbound_atom</x:v>
      </x:c>
      <x:c r="K1" s="10" t="str">
        <x:v>ibc_outbound_atom</x:v>
      </x:c>
      <x:c r="L1" s="10" t="str">
        <x:v>ibc_gross_atom</x:v>
      </x:c>
      <x:c r="M1" s="10" t="str">
        <x:v>ibc_net_inbound_atom</x:v>
      </x:c>
      <x:c r="N1" s="10" t="str">
        <x:v>binance_usdt_range_pct_of_open</x:v>
      </x:c>
      <x:c r="O1" s="10" t="str">
        <x:v>binance_usdt_base_volume_atom</x:v>
      </x:c>
      <x:c r="P1" s="10" t="str">
        <x:v>binance_usdt_quote_volume</x:v>
      </x:c>
      <x:c r="Q1" s="10" t="str">
        <x:v>binance_usdt_trade_count</x:v>
      </x:c>
      <x:c r="R1" s="10" t="str">
        <x:v>binance_usdt_realized_abs_return_pct</x:v>
      </x:c>
      <x:c r="S1" s="10" t="str">
        <x:v>max_usdt_vs_usdc_low_discount_pct</x:v>
      </x:c>
      <x:c r="T1" s="10" t="str">
        <x:v>max_usdt_vs_mark_low_discount_pct</x:v>
      </x:c>
      <x:c r="U1" s="11" t="str">
        <x:v>max_usdt_vs_coinbase_low_discount_pct</x:v>
      </x:c>
    </x:row>
    <x:row r="2">
      <x:c r="A2" s="12" t="str">
        <x:v>all_360</x:v>
      </x:c>
      <x:c r="B2" s="35" t="n">
        <x:v>45910</x:v>
      </x:c>
      <x:c r="C2" s="35" t="n">
        <x:v>45910.083333333336</x:v>
      </x:c>
      <x:c r="D2" s="14" t="n">
        <x:v>20698.962728000002</x:v>
      </x:c>
      <x:c r="E2" s="14" t="n">
        <x:v>5039.389988</x:v>
      </x:c>
      <x:c r="F2" s="14" t="n">
        <x:v>25738.352716</x:v>
      </x:c>
      <x:c r="G2" s="14" t="n">
        <x:v>15659.572740000003</x:v>
      </x:c>
      <x:c r="H2" s="14" t="n">
        <x:v>27160.544145</x:v>
      </x:c>
      <x:c r="I2" s="14" t="n">
        <x:v>47859.506873000006</x:v>
      </x:c>
      <x:c r="J2" s="14" t="n">
        <x:v>2710.145861</x:v>
      </x:c>
      <x:c r="K2" s="14" t="n">
        <x:v>4046.437902</x:v>
      </x:c>
      <x:c r="L2" s="14" t="n">
        <x:v>6756.5837630000005</x:v>
      </x:c>
      <x:c r="M2" s="14" t="n">
        <x:v>-1336.2920410000002</x:v>
      </x:c>
      <x:c r="N2" s="14" t="n">
        <x:v>0.8712698758440435</x:v>
      </x:c>
      <x:c r="O2" s="14" t="n">
        <x:v>89932.96</x:v>
      </x:c>
      <x:c r="P2" s="14" t="n">
        <x:v>411554.10602</x:v>
      </x:c>
      <x:c r="Q2" s="14" t="n">
        <x:v>3301</x:v>
      </x:c>
      <x:c r="R2" s="14" t="n">
        <x:v>7.163175192099347</x:v>
      </x:c>
      <x:c r="S2" s="14" t="n">
        <x:v>0.15327348368733285</x:v>
      </x:c>
      <x:c r="T2" s="14" t="n">
        <x:v>0</x:v>
      </x:c>
      <x:c r="U2" s="14" t="n">
        <x:v>0.13131976362442677</x:v>
      </x:c>
    </x:row>
    <x:row r="3">
      <x:c r="A3" s="13" t="str">
        <x:v>all_360</x:v>
      </x:c>
      <x:c r="B3" s="36" t="n">
        <x:v>45910.083333333336</x:v>
      </x:c>
      <x:c r="C3" s="36" t="n">
        <x:v>45910.166666666664</x:v>
      </x:c>
      <x:c r="D3" s="15" t="n">
        <x:v>11808.076135000001</x:v>
      </x:c>
      <x:c r="E3" s="15" t="n">
        <x:v>11950.53987</x:v>
      </x:c>
      <x:c r="F3" s="15" t="n">
        <x:v>23758.616005000003</x:v>
      </x:c>
      <x:c r="G3" s="15" t="n">
        <x:v>-142.46373499999936</x:v>
      </x:c>
      <x:c r="H3" s="15" t="n">
        <x:v>56318.699322</x:v>
      </x:c>
      <x:c r="I3" s="15" t="n">
        <x:v>68126.775457</x:v>
      </x:c>
      <x:c r="J3" s="15" t="n">
        <x:v>6687.921716</x:v>
      </x:c>
      <x:c r="K3" s="15" t="n">
        <x:v>2992.733678</x:v>
      </x:c>
      <x:c r="L3" s="15" t="n">
        <x:v>9680.655394</x:v>
      </x:c>
      <x:c r="M3" s="15" t="n">
        <x:v>3695.188038</x:v>
      </x:c>
      <x:c r="N3" s="15" t="n">
        <x:v>0.8953920069884335</x:v>
      </x:c>
      <x:c r="O3" s="15" t="n">
        <x:v>83837.1</x:v>
      </x:c>
      <x:c r="P3" s="15" t="n">
        <x:v>386211.40606</x:v>
      </x:c>
      <x:c r="Q3" s="15" t="n">
        <x:v>2969</x:v>
      </x:c>
      <x:c r="R3" s="15" t="n">
        <x:v>6.236837044842969</x:v>
      </x:c>
      <x:c r="S3" s="15" t="n">
        <x:v>0.13071895424836555</x:v>
      </x:c>
      <x:c r="T3" s="15" t="n">
        <x:v>-0.0037981503224759905</x:v>
      </x:c>
      <x:c r="U3" s="15" t="n">
        <x:v>0.15200868621064734</x:v>
      </x:c>
    </x:row>
    <x:row r="4">
      <x:c r="A4" s="13" t="str">
        <x:v>all_360</x:v>
      </x:c>
      <x:c r="B4" s="36" t="n">
        <x:v>45910.166666666664</x:v>
      </x:c>
      <x:c r="C4" s="36" t="n">
        <x:v>45910.25</x:v>
      </x:c>
      <x:c r="D4" s="15" t="n">
        <x:v>3042.428247</x:v>
      </x:c>
      <x:c r="E4" s="15" t="n">
        <x:v>3276.380602</x:v>
      </x:c>
      <x:c r="F4" s="15" t="n">
        <x:v>6318.808849</x:v>
      </x:c>
      <x:c r="G4" s="15" t="n">
        <x:v>-233.95235500000035</x:v>
      </x:c>
      <x:c r="H4" s="15" t="n">
        <x:v>53323.17229</x:v>
      </x:c>
      <x:c r="I4" s="15" t="n">
        <x:v>56365.600537000006</x:v>
      </x:c>
      <x:c r="J4" s="15" t="n">
        <x:v>4176.465223</x:v>
      </x:c>
      <x:c r="K4" s="15" t="n">
        <x:v>6991.937505</x:v>
      </x:c>
      <x:c r="L4" s="15" t="n">
        <x:v>11168.402728000001</x:v>
      </x:c>
      <x:c r="M4" s="15" t="n">
        <x:v>-2815.4722819999997</x:v>
      </x:c>
      <x:c r="N4" s="15" t="n">
        <x:v>1.1048526863084958</x:v>
      </x:c>
      <x:c r="O4" s="15" t="n">
        <x:v>144826.44</x:v>
      </x:c>
      <x:c r="P4" s="15" t="n">
        <x:v>664943.6539</x:v>
      </x:c>
      <x:c r="Q4" s="15" t="n">
        <x:v>3040</x:v>
      </x:c>
      <x:c r="R4" s="15" t="n">
        <x:v>6.303389033052853</x:v>
      </x:c>
      <x:c r="S4" s="15" t="n">
        <x:v>0.23819835426591718</x:v>
      </x:c>
      <x:c r="T4" s="15" t="n">
        <x:v>0.005606820658488054</x:v>
      </x:c>
      <x:c r="U4" s="15" t="n">
        <x:v>0.08726003490400203</x:v>
      </x:c>
    </x:row>
    <x:row r="5">
      <x:c r="A5" s="13" t="str">
        <x:v>all_360</x:v>
      </x:c>
      <x:c r="B5" s="36" t="n">
        <x:v>45910.25</x:v>
      </x:c>
      <x:c r="C5" s="36" t="n">
        <x:v>45910.333333333336</x:v>
      </x:c>
      <x:c r="D5" s="15" t="n">
        <x:v>84195.185603</x:v>
      </x:c>
      <x:c r="E5" s="15" t="n">
        <x:v>84293.694397</x:v>
      </x:c>
      <x:c r="F5" s="15" t="n">
        <x:v>168488.88</x:v>
      </x:c>
      <x:c r="G5" s="15" t="n">
        <x:v>-98.50879399999394</x:v>
      </x:c>
      <x:c r="H5" s="15" t="n">
        <x:v>55171.810595999996</x:v>
      </x:c>
      <x:c r="I5" s="15" t="n">
        <x:v>139366.996199</x:v>
      </x:c>
      <x:c r="J5" s="15" t="n">
        <x:v>10618.173359</x:v>
      </x:c>
      <x:c r="K5" s="15" t="n">
        <x:v>15008.569553</x:v>
      </x:c>
      <x:c r="L5" s="15" t="n">
        <x:v>25626.742912</x:v>
      </x:c>
      <x:c r="M5" s="15" t="n">
        <x:v>-4390.396193999999</x:v>
      </x:c>
      <x:c r="N5" s="15" t="n">
        <x:v>1.0006525995214326</x:v>
      </x:c>
      <x:c r="O5" s="15" t="n">
        <x:v>76107.65</x:v>
      </x:c>
      <x:c r="P5" s="15" t="n">
        <x:v>350855.56386</x:v>
      </x:c>
      <x:c r="Q5" s="15" t="n">
        <x:v>2727</x:v>
      </x:c>
      <x:c r="R5" s="15" t="n">
        <x:v>5.105315828147838</x:v>
      </x:c>
      <x:c r="S5" s="15" t="n">
        <x:v>0.15257192676546572</x:v>
      </x:c>
      <x:c r="T5" s="15" t="n">
        <x:v>-0.0005384978976064048</x:v>
      </x:c>
      <x:c r="U5" s="15" t="n">
        <x:v>0.08705114254623503</x:v>
      </x:c>
    </x:row>
    <x:row r="6">
      <x:c r="A6" s="13" t="str">
        <x:v>all_360</x:v>
      </x:c>
      <x:c r="B6" s="36" t="n">
        <x:v>45910.333333333336</x:v>
      </x:c>
      <x:c r="C6" s="36" t="n">
        <x:v>45910.416666666664</x:v>
      </x:c>
      <x:c r="D6" s="15" t="n">
        <x:v>105233.59895099999</x:v>
      </x:c>
      <x:c r="E6" s="15" t="n">
        <x:v>79628.93498</x:v>
      </x:c>
      <x:c r="F6" s="15" t="n">
        <x:v>184862.53393099998</x:v>
      </x:c>
      <x:c r="G6" s="15" t="n">
        <x:v>25604.663970999987</x:v>
      </x:c>
      <x:c r="H6" s="15" t="n">
        <x:v>76511.20245699999</x:v>
      </x:c>
      <x:c r="I6" s="15" t="n">
        <x:v>181744.801408</x:v>
      </x:c>
      <x:c r="J6" s="15" t="n">
        <x:v>54016.565405</x:v>
      </x:c>
      <x:c r="K6" s="15" t="n">
        <x:v>52539.679957</x:v>
      </x:c>
      <x:c r="L6" s="15" t="n">
        <x:v>106556.245362</x:v>
      </x:c>
      <x:c r="M6" s="15" t="n">
        <x:v>1476.885448000001</x:v>
      </x:c>
      <x:c r="N6" s="15" t="n">
        <x:v>1.1489269455885525</x:v>
      </x:c>
      <x:c r="O6" s="15" t="n">
        <x:v>133660.14</x:v>
      </x:c>
      <x:c r="P6" s="15" t="n">
        <x:v>617266.61035</x:v>
      </x:c>
      <x:c r="Q6" s="15" t="n">
        <x:v>4604</x:v>
      </x:c>
      <x:c r="R6" s="15" t="n">
        <x:v>6.327002153752148</x:v>
      </x:c>
      <x:c r="S6" s="15" t="n">
        <x:v>0.1512859304084624</x:v>
      </x:c>
      <x:c r="T6" s="15" t="n">
        <x:v>0</x:v>
      </x:c>
      <x:c r="U6" s="15" t="n">
        <x:v>0.08652390222799733</x:v>
      </x:c>
    </x:row>
    <x:row r="7">
      <x:c r="A7" s="13" t="str">
        <x:v>all_360</x:v>
      </x:c>
      <x:c r="B7" s="36" t="n">
        <x:v>45910.416666666664</x:v>
      </x:c>
      <x:c r="C7" s="36" t="n">
        <x:v>45910.5</x:v>
      </x:c>
      <x:c r="D7" s="15" t="n">
        <x:v>42384.567551</x:v>
      </x:c>
      <x:c r="E7" s="15" t="n">
        <x:v>44852.421189</x:v>
      </x:c>
      <x:c r="F7" s="15" t="n">
        <x:v>87236.98874</x:v>
      </x:c>
      <x:c r="G7" s="15" t="n">
        <x:v>-2467.8536380000005</x:v>
      </x:c>
      <x:c r="H7" s="15" t="n">
        <x:v>74911.053737</x:v>
      </x:c>
      <x:c r="I7" s="15" t="n">
        <x:v>117295.621288</x:v>
      </x:c>
      <x:c r="J7" s="15" t="n">
        <x:v>7317.877597</x:v>
      </x:c>
      <x:c r="K7" s="15" t="n">
        <x:v>14191.408985</x:v>
      </x:c>
      <x:c r="L7" s="15" t="n">
        <x:v>21509.286582</x:v>
      </x:c>
      <x:c r="M7" s="15" t="n">
        <x:v>-6873.531388</x:v>
      </x:c>
      <x:c r="N7" s="15" t="n">
        <x:v>0.7559395248380161</x:v>
      </x:c>
      <x:c r="O7" s="15" t="n">
        <x:v>163175.97</x:v>
      </x:c>
      <x:c r="P7" s="15" t="n">
        <x:v>756496.8060100001</x:v>
      </x:c>
      <x:c r="Q7" s="15" t="n">
        <x:v>4487</x:v>
      </x:c>
      <x:c r="R7" s="15" t="n">
        <x:v>6.7970339659426005</x:v>
      </x:c>
      <x:c r="S7" s="15" t="n">
        <x:v>0.08648648648648116</x:v>
      </x:c>
      <x:c r="T7" s="15" t="n">
        <x:v>0</x:v>
      </x:c>
      <x:c r="U7" s="15" t="n">
        <x:v>0.108061378863189</x:v>
      </x:c>
    </x:row>
    <x:row r="8">
      <x:c r="A8" s="13" t="str">
        <x:v>all_360</x:v>
      </x:c>
      <x:c r="B8" s="36" t="n">
        <x:v>45910.5</x:v>
      </x:c>
      <x:c r="C8" s="36" t="n">
        <x:v>45910.583333333336</x:v>
      </x:c>
      <x:c r="D8" s="15" t="n">
        <x:v>83350.058527</x:v>
      </x:c>
      <x:c r="E8" s="15" t="n">
        <x:v>81044.122251</x:v>
      </x:c>
      <x:c r="F8" s="15" t="n">
        <x:v>164394.18077799998</x:v>
      </x:c>
      <x:c r="G8" s="15" t="n">
        <x:v>2305.9362760000076</x:v>
      </x:c>
      <x:c r="H8" s="15" t="n">
        <x:v>61199.485999</x:v>
      </x:c>
      <x:c r="I8" s="15" t="n">
        <x:v>144549.54452599998</x:v>
      </x:c>
      <x:c r="J8" s="15" t="n">
        <x:v>23324.391429</x:v>
      </x:c>
      <x:c r="K8" s="15" t="n">
        <x:v>11500.111785</x:v>
      </x:c>
      <x:c r="L8" s="15" t="n">
        <x:v>34824.503214</x:v>
      </x:c>
      <x:c r="M8" s="15" t="n">
        <x:v>11824.279644</x:v>
      </x:c>
      <x:c r="N8" s="15" t="n">
        <x:v>2.0540540540540486</x:v>
      </x:c>
      <x:c r="O8" s="15" t="n">
        <x:v>262714.3</x:v>
      </x:c>
      <x:c r="P8" s="15" t="n">
        <x:v>1228460.06261</x:v>
      </x:c>
      <x:c r="Q8" s="15" t="n">
        <x:v>9559</x:v>
      </x:c>
      <x:c r="R8" s="15" t="n">
        <x:v>9.706966613954648</x:v>
      </x:c>
      <x:c r="S8" s="15" t="n">
        <x:v>0.1493492639214944</x:v>
      </x:c>
      <x:c r="T8" s="15" t="n">
        <x:v>0.09118768165544688</x:v>
      </x:c>
      <x:c r="U8" s="15" t="n">
        <x:v>0.10692899914456211</x:v>
      </x:c>
    </x:row>
    <x:row r="9">
      <x:c r="A9" s="13" t="str">
        <x:v>all_360</x:v>
      </x:c>
      <x:c r="B9" s="36" t="n">
        <x:v>45910.583333333336</x:v>
      </x:c>
      <x:c r="C9" s="36" t="n">
        <x:v>45910.666666666664</x:v>
      </x:c>
      <x:c r="D9" s="15" t="n">
        <x:v>157820.570325</x:v>
      </x:c>
      <x:c r="E9" s="15" t="n">
        <x:v>155495.165024</x:v>
      </x:c>
      <x:c r="F9" s="15" t="n">
        <x:v>313315.73534899997</x:v>
      </x:c>
      <x:c r="G9" s="15" t="n">
        <x:v>2325.4053010000207</x:v>
      </x:c>
      <x:c r="H9" s="15" t="n">
        <x:v>278095.769737</x:v>
      </x:c>
      <x:c r="I9" s="15" t="n">
        <x:v>435916.340062</x:v>
      </x:c>
      <x:c r="J9" s="15" t="n">
        <x:v>38554.593351</x:v>
      </x:c>
      <x:c r="K9" s="15" t="n">
        <x:v>11916.104732</x:v>
      </x:c>
      <x:c r="L9" s="15" t="n">
        <x:v>50470.698083</x:v>
      </x:c>
      <x:c r="M9" s="15" t="n">
        <x:v>26638.488619000003</x:v>
      </x:c>
      <x:c r="N9" s="15" t="n">
        <x:v>1.192504258943783</x:v>
      </x:c>
      <x:c r="O9" s="15" t="n">
        <x:v>285902.14</x:v>
      </x:c>
      <x:c r="P9" s="15" t="n">
        <x:v>1339755.16654</x:v>
      </x:c>
      <x:c r="Q9" s="15" t="n">
        <x:v>6476</x:v>
      </x:c>
      <x:c r="R9" s="15" t="n">
        <x:v>7.9696559249783805</x:v>
      </x:c>
      <x:c r="S9" s="15" t="n">
        <x:v>0.4914529914529897</x:v>
      </x:c>
      <x:c r="T9" s="15" t="n">
        <x:v>0.46459012832512636</x:v>
      </x:c>
      <x:c r="U9" s="15" t="n">
        <x:v>0.5127109591967494</x:v>
      </x:c>
    </x:row>
    <x:row r="10">
      <x:c r="A10" s="13" t="str">
        <x:v>all_360</x:v>
      </x:c>
      <x:c r="B10" s="36" t="n">
        <x:v>45910.666666666664</x:v>
      </x:c>
      <x:c r="C10" s="36" t="n">
        <x:v>45910.75</x:v>
      </x:c>
      <x:c r="D10" s="15" t="n">
        <x:v>31531.258922</x:v>
      </x:c>
      <x:c r="E10" s="15" t="n">
        <x:v>33362.67029</x:v>
      </x:c>
      <x:c r="F10" s="15" t="n">
        <x:v>64893.929212</x:v>
      </x:c>
      <x:c r="G10" s="15" t="n">
        <x:v>-1831.411368000001</x:v>
      </x:c>
      <x:c r="H10" s="15" t="n">
        <x:v>98467.268746</x:v>
      </x:c>
      <x:c r="I10" s="15" t="n">
        <x:v>129998.527668</x:v>
      </x:c>
      <x:c r="J10" s="15" t="n">
        <x:v>3381.18879</x:v>
      </x:c>
      <x:c r="K10" s="15" t="n">
        <x:v>10584.999093</x:v>
      </x:c>
      <x:c r="L10" s="15" t="n">
        <x:v>13966.187883</x:v>
      </x:c>
      <x:c r="M10" s="15" t="n">
        <x:v>-7203.810303</x:v>
      </x:c>
      <x:c r="N10" s="15" t="n">
        <x:v>0.7889125799573543</x:v>
      </x:c>
      <x:c r="O10" s="15" t="n">
        <x:v>65299.06</x:v>
      </x:c>
      <x:c r="P10" s="15" t="n">
        <x:v>305037.12652</x:v>
      </x:c>
      <x:c r="Q10" s="15" t="n">
        <x:v>2630</x:v>
      </x:c>
      <x:c r="R10" s="15" t="n">
        <x:v>4.985818789644769</x:v>
      </x:c>
      <x:c r="S10" s="15" t="n">
        <x:v>0.12845215157354373</x:v>
      </x:c>
      <x:c r="T10" s="15" t="n">
        <x:v>0.019645390363365323</x:v>
      </x:c>
      <x:c r="U10" s="15" t="n">
        <x:v>0.10706638115631772</x:v>
      </x:c>
    </x:row>
    <x:row r="11">
      <x:c r="A11" s="13" t="str">
        <x:v>all_360</x:v>
      </x:c>
      <x:c r="B11" s="36" t="n">
        <x:v>45910.75</x:v>
      </x:c>
      <x:c r="C11" s="36" t="n">
        <x:v>45910.833333333336</x:v>
      </x:c>
      <x:c r="D11" s="15" t="n">
        <x:v>17956.74826</x:v>
      </x:c>
      <x:c r="E11" s="15" t="n">
        <x:v>18419.793312</x:v>
      </x:c>
      <x:c r="F11" s="15" t="n">
        <x:v>36376.541572</x:v>
      </x:c>
      <x:c r="G11" s="15" t="n">
        <x:v>-463.0450520000013</x:v>
      </x:c>
      <x:c r="H11" s="15" t="n">
        <x:v>73847.858907</x:v>
      </x:c>
      <x:c r="I11" s="15" t="n">
        <x:v>91804.60716700001</x:v>
      </x:c>
      <x:c r="J11" s="15" t="n">
        <x:v>9076.397653</x:v>
      </x:c>
      <x:c r="K11" s="15" t="n">
        <x:v>17846.386781999998</x:v>
      </x:c>
      <x:c r="L11" s="15" t="n">
        <x:v>26922.784434999998</x:v>
      </x:c>
      <x:c r="M11" s="15" t="n">
        <x:v>-8769.989128999998</x:v>
      </x:c>
      <x:c r="N11" s="15" t="n">
        <x:v>1.4144877839691348</x:v>
      </x:c>
      <x:c r="O11" s="15" t="n">
        <x:v>142352.98</x:v>
      </x:c>
      <x:c r="P11" s="15" t="n">
        <x:v>660771.6168</x:v>
      </x:c>
      <x:c r="Q11" s="15" t="n">
        <x:v>3034</x:v>
      </x:c>
      <x:c r="R11" s="15" t="n">
        <x:v>5.369591863302126</x:v>
      </x:c>
      <x:c r="S11" s="15" t="n">
        <x:v>0.10736525660296481</x:v>
      </x:c>
      <x:c r="T11" s="15" t="n">
        <x:v>0.08591065292095079</x:v>
      </x:c>
      <x:c r="U11" s="15" t="n">
        <x:v>0.08591065292095079</x:v>
      </x:c>
    </x:row>
    <x:row r="12">
      <x:c r="A12" s="13" t="str">
        <x:v>all_360</x:v>
      </x:c>
      <x:c r="B12" s="36" t="n">
        <x:v>45910.833333333336</x:v>
      </x:c>
      <x:c r="C12" s="36" t="n">
        <x:v>45910.916666666664</x:v>
      </x:c>
      <x:c r="D12" s="15" t="n">
        <x:v>202663.150478</x:v>
      </x:c>
      <x:c r="E12" s="15" t="n">
        <x:v>200588.630594</x:v>
      </x:c>
      <x:c r="F12" s="15" t="n">
        <x:v>403251.781072</x:v>
      </x:c>
      <x:c r="G12" s="15" t="n">
        <x:v>2074.5198840000085</x:v>
      </x:c>
      <x:c r="H12" s="15" t="n">
        <x:v>46122.554077</x:v>
      </x:c>
      <x:c r="I12" s="15" t="n">
        <x:v>248785.704555</x:v>
      </x:c>
      <x:c r="J12" s="15" t="n">
        <x:v>31998.300932000002</x:v>
      </x:c>
      <x:c r="K12" s="15" t="n">
        <x:v>18848.578938</x:v>
      </x:c>
      <x:c r="L12" s="15" t="n">
        <x:v>50846.879870000004</x:v>
      </x:c>
      <x:c r="M12" s="15" t="n">
        <x:v>13149.721994000003</x:v>
      </x:c>
      <x:c r="N12" s="15" t="n">
        <x:v>1.689042875703774</x:v>
      </x:c>
      <x:c r="O12" s="15" t="n">
        <x:v>129620.06</x:v>
      </x:c>
      <x:c r="P12" s="15" t="n">
        <x:v>604267.6383</x:v>
      </x:c>
      <x:c r="Q12" s="15" t="n">
        <x:v>3215</x:v>
      </x:c>
      <x:c r="R12" s="15" t="n">
        <x:v>5.262071921785294</x:v>
      </x:c>
      <x:c r="S12" s="15" t="n">
        <x:v>0.1504082509669047</x:v>
      </x:c>
      <x:c r="T12" s="15" t="n">
        <x:v>0</x:v>
      </x:c>
      <x:c r="U12" s="15" t="n">
        <x:v>0.10768899418479583</x:v>
      </x:c>
    </x:row>
    <x:row r="13">
      <x:c r="A13" s="13" t="str">
        <x:v>all_360</x:v>
      </x:c>
      <x:c r="B13" s="36" t="n">
        <x:v>45910.916666666664</x:v>
      </x:c>
      <x:c r="C13" s="36" t="n">
        <x:v>45911</x:v>
      </x:c>
      <x:c r="D13" s="15" t="n">
        <x:v>105669.10483899999</x:v>
      </x:c>
      <x:c r="E13" s="15" t="n">
        <x:v>113813.03702</x:v>
      </x:c>
      <x:c r="F13" s="15" t="n">
        <x:v>219482.141859</x:v>
      </x:c>
      <x:c r="G13" s="15" t="n">
        <x:v>-8143.932181000011</x:v>
      </x:c>
      <x:c r="H13" s="15" t="n">
        <x:v>270693.187525</x:v>
      </x:c>
      <x:c r="I13" s="15" t="n">
        <x:v>376362.292364</x:v>
      </x:c>
      <x:c r="J13" s="15" t="n">
        <x:v>969.3569630000001</x:v>
      </x:c>
      <x:c r="K13" s="15" t="n">
        <x:v>5830.975036</x:v>
      </x:c>
      <x:c r="L13" s="15" t="n">
        <x:v>6800.331999</x:v>
      </x:c>
      <x:c r="M13" s="15" t="n">
        <x:v>-4861.618073</x:v>
      </x:c>
      <x:c r="N13" s="15" t="n">
        <x:v>1.0258602265441343</x:v>
      </x:c>
      <x:c r="O13" s="15" t="n">
        <x:v>124241.6</x:v>
      </x:c>
      <x:c r="P13" s="15" t="n">
        <x:v>582544.89043</x:v>
      </x:c>
      <x:c r="Q13" s="15" t="n">
        <x:v>3579</x:v>
      </x:c>
      <x:c r="R13" s="15" t="n">
        <x:v>5.88870558775314</x:v>
      </x:c>
      <x:c r="S13" s="15" t="n">
        <x:v>0.10667804565820393</x:v>
      </x:c>
      <x:c r="T13" s="15" t="n">
        <x:v>0</x:v>
      </x:c>
      <x:c r="U13" s="15" t="n">
        <x:v>0.08530603540201076</x:v>
      </x:c>
    </x:row>
    <x:row r="14">
      <x:c r="A14" s="13" t="str">
        <x:v>all_360</x:v>
      </x:c>
      <x:c r="B14" s="36" t="n">
        <x:v>45911</x:v>
      </x:c>
      <x:c r="C14" s="36" t="n">
        <x:v>45911.083333333336</x:v>
      </x:c>
      <x:c r="D14" s="15" t="n">
        <x:v>6936.481651</x:v>
      </x:c>
      <x:c r="E14" s="15" t="n">
        <x:v>6796.074605</x:v>
      </x:c>
      <x:c r="F14" s="15" t="n">
        <x:v>13732.556256</x:v>
      </x:c>
      <x:c r="G14" s="15" t="n">
        <x:v>140.40704600000026</x:v>
      </x:c>
      <x:c r="H14" s="15" t="n">
        <x:v>52049.840247</x:v>
      </x:c>
      <x:c r="I14" s="15" t="n">
        <x:v>58986.321898</x:v>
      </x:c>
      <x:c r="J14" s="15" t="n">
        <x:v>2350.598936</x:v>
      </x:c>
      <x:c r="K14" s="15" t="n">
        <x:v>1693.8493210000001</x:v>
      </x:c>
      <x:c r="L14" s="15" t="n">
        <x:v>4044.448257</x:v>
      </x:c>
      <x:c r="M14" s="15" t="n">
        <x:v>656.7496149999997</x:v>
      </x:c>
      <x:c r="N14" s="15" t="n">
        <x:v>0.5554368724631447</x:v>
      </x:c>
      <x:c r="O14" s="15" t="n">
        <x:v>80899.43</x:v>
      </x:c>
      <x:c r="P14" s="15" t="n">
        <x:v>379352.10534</x:v>
      </x:c>
      <x:c r="Q14" s="15" t="n">
        <x:v>1647</x:v>
      </x:c>
      <x:c r="R14" s="15" t="n">
        <x:v>4.738004848544453</x:v>
      </x:c>
      <x:c r="S14" s="15" t="n">
        <x:v>0.10663254425250512</x:v>
      </x:c>
      <x:c r="T14" s="15" t="n">
        <x:v>-0.014217481255474063</x:v>
      </x:c>
      <x:c r="U14" s="15" t="n">
        <x:v>0.1280409731113985</x:v>
      </x:c>
    </x:row>
    <x:row r="15">
      <x:c r="A15" s="13" t="str">
        <x:v>all_360</x:v>
      </x:c>
      <x:c r="B15" s="36" t="n">
        <x:v>45911.083333333336</x:v>
      </x:c>
      <x:c r="C15" s="36" t="n">
        <x:v>45911.166666666664</x:v>
      </x:c>
      <x:c r="D15" s="15" t="n">
        <x:v>40195.496807</x:v>
      </x:c>
      <x:c r="E15" s="15" t="n">
        <x:v>40614.558567</x:v>
      </x:c>
      <x:c r="F15" s="15" t="n">
        <x:v>80810.055374</x:v>
      </x:c>
      <x:c r="G15" s="15" t="n">
        <x:v>-419.06175999999687</x:v>
      </x:c>
      <x:c r="H15" s="15" t="n">
        <x:v>44873.756291</x:v>
      </x:c>
      <x:c r="I15" s="15" t="n">
        <x:v>85069.253098</x:v>
      </x:c>
      <x:c r="J15" s="15" t="n">
        <x:v>1898.079303</x:v>
      </x:c>
      <x:c r="K15" s="15" t="n">
        <x:v>3620.448828</x:v>
      </x:c>
      <x:c r="L15" s="15" t="n">
        <x:v>5518.528131</x:v>
      </x:c>
      <x:c r="M15" s="15" t="n">
        <x:v>-1722.369525</x:v>
      </x:c>
      <x:c r="N15" s="15" t="n">
        <x:v>0.6606990622335825</x:v>
      </x:c>
      <x:c r="O15" s="15" t="n">
        <x:v>60843.81</x:v>
      </x:c>
      <x:c r="P15" s="15" t="n">
        <x:v>285461.20772999997</x:v>
      </x:c>
      <x:c r="Q15" s="15" t="n">
        <x:v>1734</x:v>
      </x:c>
      <x:c r="R15" s="15" t="n">
        <x:v>4.265834644110855</x:v>
      </x:c>
      <x:c r="S15" s="15" t="n">
        <x:v>0.08536064874091753</x:v>
      </x:c>
      <x:c r="T15" s="15" t="n">
        <x:v>0</x:v>
      </x:c>
      <x:c r="U15" s="15" t="n">
        <x:v>0.0852151682999458</x:v>
      </x:c>
    </x:row>
    <x:row r="16">
      <x:c r="A16" s="13" t="str">
        <x:v>all_360</x:v>
      </x:c>
      <x:c r="B16" s="36" t="n">
        <x:v>45911.166666666664</x:v>
      </x:c>
      <x:c r="C16" s="36" t="n">
        <x:v>45911.25</x:v>
      </x:c>
      <x:c r="D16" s="15" t="n">
        <x:v>49964.318189</x:v>
      </x:c>
      <x:c r="E16" s="15" t="n">
        <x:v>47721.534066</x:v>
      </x:c>
      <x:c r="F16" s="15" t="n">
        <x:v>97685.852255</x:v>
      </x:c>
      <x:c r="G16" s="15" t="n">
        <x:v>2242.7841229999976</x:v>
      </x:c>
      <x:c r="H16" s="15" t="n">
        <x:v>60658.567401</x:v>
      </x:c>
      <x:c r="I16" s="15" t="n">
        <x:v>110622.88558999999</x:v>
      </x:c>
      <x:c r="J16" s="15" t="n">
        <x:v>2867.056138</x:v>
      </x:c>
      <x:c r="K16" s="15" t="n">
        <x:v>9016.323832</x:v>
      </x:c>
      <x:c r="L16" s="15" t="n">
        <x:v>11883.37997</x:v>
      </x:c>
      <x:c r="M16" s="15" t="n">
        <x:v>-6149.267694</x:v>
      </x:c>
      <x:c r="N16" s="15" t="n">
        <x:v>0.99978727930227</x:v>
      </x:c>
      <x:c r="O16" s="15" t="n">
        <x:v>114012.49</x:v>
      </x:c>
      <x:c r="P16" s="15" t="n">
        <x:v>533832.13153</x:v>
      </x:c>
      <x:c r="Q16" s="15" t="n">
        <x:v>2234</x:v>
      </x:c>
      <x:c r="R16" s="15" t="n">
        <x:v>4.335509450862873</x:v>
      </x:c>
      <x:c r="S16" s="15" t="n">
        <x:v>0.10722710701265292</x:v>
      </x:c>
      <x:c r="T16" s="15" t="n">
        <x:v>0.0858000858000807</x:v>
      </x:c>
      <x:c r="U16" s="15" t="n">
        <x:v>0.10706638115631772</x:v>
      </x:c>
    </x:row>
    <x:row r="17">
      <x:c r="A17" s="13" t="str">
        <x:v>all_360</x:v>
      </x:c>
      <x:c r="B17" s="36" t="n">
        <x:v>45911.25</x:v>
      </x:c>
      <x:c r="C17" s="36" t="n">
        <x:v>45911.333333333336</x:v>
      </x:c>
      <x:c r="D17" s="15" t="n">
        <x:v>5918.562801</x:v>
      </x:c>
      <x:c r="E17" s="15" t="n">
        <x:v>5300.499762</x:v>
      </x:c>
      <x:c r="F17" s="15" t="n">
        <x:v>11219.062563</x:v>
      </x:c>
      <x:c r="G17" s="15" t="n">
        <x:v>618.0630389999997</x:v>
      </x:c>
      <x:c r="H17" s="15" t="n">
        <x:v>53911.93571</x:v>
      </x:c>
      <x:c r="I17" s="15" t="n">
        <x:v>59830.498511</x:v>
      </x:c>
      <x:c r="J17" s="15" t="n">
        <x:v>2143.486623</x:v>
      </x:c>
      <x:c r="K17" s="15" t="n">
        <x:v>3693.889141</x:v>
      </x:c>
      <x:c r="L17" s="15" t="n">
        <x:v>5837.375764</x:v>
      </x:c>
      <x:c r="M17" s="15" t="n">
        <x:v>-1550.4025180000003</x:v>
      </x:c>
      <x:c r="N17" s="15" t="n">
        <x:v>0.6428112277694504</x:v>
      </x:c>
      <x:c r="O17" s="15" t="n">
        <x:v>49690.65</x:v>
      </x:c>
      <x:c r="P17" s="15" t="n">
        <x:v>232297.23529</x:v>
      </x:c>
      <x:c r="Q17" s="15" t="n">
        <x:v>1836</x:v>
      </x:c>
      <x:c r="R17" s="15" t="n">
        <x:v>4.471889381266636</x:v>
      </x:c>
      <x:c r="S17" s="15" t="n">
        <x:v>0.1280409731113985</x:v>
      </x:c>
      <x:c r="T17" s="15" t="n">
        <x:v>0.00799721539215259</x:v>
      </x:c>
      <x:c r="U17" s="15" t="n">
        <x:v>0.08550662676356513</x:v>
      </x:c>
    </x:row>
    <x:row r="18">
      <x:c r="A18" s="13" t="str">
        <x:v>all_360</x:v>
      </x:c>
      <x:c r="B18" s="36" t="n">
        <x:v>45911.333333333336</x:v>
      </x:c>
      <x:c r="C18" s="36" t="n">
        <x:v>45911.416666666664</x:v>
      </x:c>
      <x:c r="D18" s="15" t="n">
        <x:v>13796.348818</x:v>
      </x:c>
      <x:c r="E18" s="15" t="n">
        <x:v>13126.793408</x:v>
      </x:c>
      <x:c r="F18" s="15" t="n">
        <x:v>26923.142226</x:v>
      </x:c>
      <x:c r="G18" s="15" t="n">
        <x:v>669.5554100000008</x:v>
      </x:c>
      <x:c r="H18" s="15" t="n">
        <x:v>56360.267307999995</x:v>
      </x:c>
      <x:c r="I18" s="15" t="n">
        <x:v>70156.616126</x:v>
      </x:c>
      <x:c r="J18" s="15" t="n">
        <x:v>1964.6684089999999</x:v>
      </x:c>
      <x:c r="K18" s="15" t="n">
        <x:v>21055.490006</x:v>
      </x:c>
      <x:c r="L18" s="15" t="n">
        <x:v>23020.158414999998</x:v>
      </x:c>
      <x:c r="M18" s="15" t="n">
        <x:v>-19090.821597000002</x:v>
      </x:c>
      <x:c r="N18" s="15" t="n">
        <x:v>0.7277397260274122</x:v>
      </x:c>
      <x:c r="O18" s="15" t="n">
        <x:v>41029.1</x:v>
      </x:c>
      <x:c r="P18" s="15" t="n">
        <x:v>191266.40258</x:v>
      </x:c>
      <x:c r="Q18" s="15" t="n">
        <x:v>1501</x:v>
      </x:c>
      <x:c r="R18" s="15" t="n">
        <x:v>3.925059697551947</x:v>
      </x:c>
      <x:c r="S18" s="15" t="n">
        <x:v>0.10738831615120237</x:v>
      </x:c>
      <x:c r="T18" s="15" t="n">
        <x:v>0.006304629229414438</x:v>
      </x:c>
      <x:c r="U18" s="15" t="n">
        <x:v>0.10745755426606607</x:v>
      </x:c>
    </x:row>
    <x:row r="19">
      <x:c r="A19" s="13" t="str">
        <x:v>all_360</x:v>
      </x:c>
      <x:c r="B19" s="36" t="n">
        <x:v>45911.416666666664</x:v>
      </x:c>
      <x:c r="C19" s="36" t="n">
        <x:v>45911.5</x:v>
      </x:c>
      <x:c r="D19" s="15" t="n">
        <x:v>47812.19933</x:v>
      </x:c>
      <x:c r="E19" s="15" t="n">
        <x:v>53144.966837</x:v>
      </x:c>
      <x:c r="F19" s="15" t="n">
        <x:v>100957.166167</x:v>
      </x:c>
      <x:c r="G19" s="15" t="n">
        <x:v>-5332.767506999997</x:v>
      </x:c>
      <x:c r="H19" s="15" t="n">
        <x:v>88135.806314</x:v>
      </x:c>
      <x:c r="I19" s="15" t="n">
        <x:v>135948.00564400002</x:v>
      </x:c>
      <x:c r="J19" s="15" t="n">
        <x:v>3173.63211</x:v>
      </x:c>
      <x:c r="K19" s="15" t="n">
        <x:v>9544.932072</x:v>
      </x:c>
      <x:c r="L19" s="15" t="n">
        <x:v>12718.564182</x:v>
      </x:c>
      <x:c r="M19" s="15" t="n">
        <x:v>-6371.299961999999</x:v>
      </x:c>
      <x:c r="N19" s="15" t="n">
        <x:v>0.6663800515907261</x:v>
      </x:c>
      <x:c r="O19" s="15" t="n">
        <x:v>79810.61</x:v>
      </x:c>
      <x:c r="P19" s="15" t="n">
        <x:v>370879.6695</x:v>
      </x:c>
      <x:c r="Q19" s="15" t="n">
        <x:v>2057</x:v>
      </x:c>
      <x:c r="R19" s="15" t="n">
        <x:v>4.560188263183651</x:v>
      </x:c>
      <x:c r="S19" s="15" t="n">
        <x:v>0.12886597938143174</x:v>
      </x:c>
      <x:c r="T19" s="15" t="n">
        <x:v>0.02155172413791373</x:v>
      </x:c>
      <x:c r="U19" s="15" t="n">
        <x:v>0.1290322580645209</x:v>
      </x:c>
    </x:row>
    <x:row r="20">
      <x:c r="A20" s="13" t="str">
        <x:v>all_360</x:v>
      </x:c>
      <x:c r="B20" s="36" t="n">
        <x:v>45911.5</x:v>
      </x:c>
      <x:c r="C20" s="36" t="n">
        <x:v>45911.583333333336</x:v>
      </x:c>
      <x:c r="D20" s="15" t="n">
        <x:v>61904.311451</x:v>
      </x:c>
      <x:c r="E20" s="15" t="n">
        <x:v>58103.902168</x:v>
      </x:c>
      <x:c r="F20" s="15" t="n">
        <x:v>120008.213619</x:v>
      </x:c>
      <x:c r="G20" s="15" t="n">
        <x:v>3800.409283000001</x:v>
      </x:c>
      <x:c r="H20" s="15" t="n">
        <x:v>53106.186481</x:v>
      </x:c>
      <x:c r="I20" s="15" t="n">
        <x:v>115010.497932</x:v>
      </x:c>
      <x:c r="J20" s="15" t="n">
        <x:v>29055.825120999998</x:v>
      </x:c>
      <x:c r="K20" s="15" t="n">
        <x:v>21374.898424</x:v>
      </x:c>
      <x:c r="L20" s="15" t="n">
        <x:v>50430.723545</x:v>
      </x:c>
      <x:c r="M20" s="15" t="n">
        <x:v>7680.926696999999</x:v>
      </x:c>
      <x:c r="N20" s="15" t="n">
        <x:v>1.965018354567052</x:v>
      </x:c>
      <x:c r="O20" s="15" t="n">
        <x:v>333086.15</x:v>
      </x:c>
      <x:c r="P20" s="15" t="n">
        <x:v>1541508.08348</x:v>
      </x:c>
      <x:c r="Q20" s="15" t="n">
        <x:v>10617</x:v>
      </x:c>
      <x:c r="R20" s="15" t="n">
        <x:v>12.065036350682012</x:v>
      </x:c>
      <x:c r="S20" s="15" t="n">
        <x:v>0.1522732216663214</x:v>
      </x:c>
      <x:c r="T20" s="15" t="n">
        <x:v>0.14850093325148306</x:v>
      </x:c>
      <x:c r="U20" s="15" t="n">
        <x:v>0.12919896640827266</x:v>
      </x:c>
    </x:row>
    <x:row r="21">
      <x:c r="A21" s="13" t="str">
        <x:v>all_360</x:v>
      </x:c>
      <x:c r="B21" s="36" t="n">
        <x:v>45911.583333333336</x:v>
      </x:c>
      <x:c r="C21" s="36" t="n">
        <x:v>45911.666666666664</x:v>
      </x:c>
      <x:c r="D21" s="15" t="n">
        <x:v>29144.279032</x:v>
      </x:c>
      <x:c r="E21" s="15" t="n">
        <x:v>29615.138709000003</x:v>
      </x:c>
      <x:c r="F21" s="15" t="n">
        <x:v>58759.417741</x:v>
      </x:c>
      <x:c r="G21" s="15" t="n">
        <x:v>-470.859677000004</x:v>
      </x:c>
      <x:c r="H21" s="15" t="n">
        <x:v>232016.807355</x:v>
      </x:c>
      <x:c r="I21" s="15" t="n">
        <x:v>261161.086387</x:v>
      </x:c>
      <x:c r="J21" s="15" t="n">
        <x:v>18617.073299</x:v>
      </x:c>
      <x:c r="K21" s="15" t="n">
        <x:v>11379.676348</x:v>
      </x:c>
      <x:c r="L21" s="15" t="n">
        <x:v>29996.749647</x:v>
      </x:c>
      <x:c r="M21" s="15" t="n">
        <x:v>7237.396950999999</x:v>
      </x:c>
      <x:c r="N21" s="15" t="n">
        <x:v>1.1130136986301287</x:v>
      </x:c>
      <x:c r="O21" s="15" t="n">
        <x:v>95538.53</x:v>
      </x:c>
      <x:c r="P21" s="15" t="n">
        <x:v>444334.93699</x:v>
      </x:c>
      <x:c r="Q21" s="15" t="n">
        <x:v>3033</x:v>
      </x:c>
      <x:c r="R21" s="15" t="n">
        <x:v>6.693835092830858</x:v>
      </x:c>
      <x:c r="S21" s="15" t="n">
        <x:v>0.17196904557179593</x:v>
      </x:c>
      <x:c r="T21" s="15" t="n">
        <x:v>-0.02260351971274943</x:v>
      </x:c>
      <x:c r="U21" s="15" t="n">
        <x:v>0.10792143319663383</x:v>
      </x:c>
    </x:row>
    <x:row r="22">
      <x:c r="A22" s="13" t="str">
        <x:v>all_360</x:v>
      </x:c>
      <x:c r="B22" s="36" t="n">
        <x:v>45911.666666666664</x:v>
      </x:c>
      <x:c r="C22" s="36" t="n">
        <x:v>45911.75</x:v>
      </x:c>
      <x:c r="D22" s="15" t="n">
        <x:v>20135.168454</x:v>
      </x:c>
      <x:c r="E22" s="15" t="n">
        <x:v>18567.231482</x:v>
      </x:c>
      <x:c r="F22" s="15" t="n">
        <x:v>38702.399936</x:v>
      </x:c>
      <x:c r="G22" s="15" t="n">
        <x:v>1567.9369719999995</x:v>
      </x:c>
      <x:c r="H22" s="15" t="n">
        <x:v>75349.434419</x:v>
      </x:c>
      <x:c r="I22" s="15" t="n">
        <x:v>95484.602873</x:v>
      </x:c>
      <x:c r="J22" s="15" t="n">
        <x:v>25638.733757</x:v>
      </x:c>
      <x:c r="K22" s="15" t="n">
        <x:v>12752.859626</x:v>
      </x:c>
      <x:c r="L22" s="15" t="n">
        <x:v>38391.593383</x:v>
      </x:c>
      <x:c r="M22" s="15" t="n">
        <x:v>12885.874131000002</x:v>
      </x:c>
      <x:c r="N22" s="15" t="n">
        <x:v>0.777705767984437</x:v>
      </x:c>
      <x:c r="O22" s="15" t="n">
        <x:v>51240.54</x:v>
      </x:c>
      <x:c r="P22" s="15" t="n">
        <x:v>238107.35941</x:v>
      </x:c>
      <x:c r="Q22" s="15" t="n">
        <x:v>1763</x:v>
      </x:c>
      <x:c r="R22" s="15" t="n">
        <x:v>5.594254937543797</x:v>
      </x:c>
      <x:c r="S22" s="15" t="n">
        <x:v>0.12922679302175277</x:v>
      </x:c>
      <x:c r="T22" s="15" t="n">
        <x:v>0.002319688678475984</x:v>
      </x:c>
      <x:c r="U22" s="15" t="n">
        <x:v>0.0860955660783369</x:v>
      </x:c>
    </x:row>
    <x:row r="23">
      <x:c r="A23" s="13" t="str">
        <x:v>all_360</x:v>
      </x:c>
      <x:c r="B23" s="36" t="n">
        <x:v>45911.75</x:v>
      </x:c>
      <x:c r="C23" s="36" t="n">
        <x:v>45911.833333333336</x:v>
      </x:c>
      <x:c r="D23" s="15" t="n">
        <x:v>25434.308923</x:v>
      </x:c>
      <x:c r="E23" s="15" t="n">
        <x:v>23801.638211999998</x:v>
      </x:c>
      <x:c r="F23" s="15" t="n">
        <x:v>49235.947134999995</x:v>
      </x:c>
      <x:c r="G23" s="15" t="n">
        <x:v>1632.6707110000025</x:v>
      </x:c>
      <x:c r="H23" s="15" t="n">
        <x:v>66615.721605</x:v>
      </x:c>
      <x:c r="I23" s="15" t="n">
        <x:v>92050.030528</x:v>
      </x:c>
      <x:c r="J23" s="15" t="n">
        <x:v>13524.095479</x:v>
      </x:c>
      <x:c r="K23" s="15" t="n">
        <x:v>9144.56047</x:v>
      </x:c>
      <x:c r="L23" s="15" t="n">
        <x:v>22668.655949</x:v>
      </x:c>
      <x:c r="M23" s="15" t="n">
        <x:v>4379.535008999999</x:v>
      </x:c>
      <x:c r="N23" s="15" t="n">
        <x:v>0.8154506437768294</x:v>
      </x:c>
      <x:c r="O23" s="15" t="n">
        <x:v>79675.41</x:v>
      </x:c>
      <x:c r="P23" s="15" t="n">
        <x:v>371859.17167</x:v>
      </x:c>
      <x:c r="Q23" s="15" t="n">
        <x:v>2239</x:v>
      </x:c>
      <x:c r="R23" s="15" t="n">
        <x:v>4.350636107454053</x:v>
      </x:c>
      <x:c r="S23" s="15" t="n">
        <x:v>0.10713520462823922</x:v>
      </x:c>
      <x:c r="T23" s="15" t="n">
        <x:v>0</x:v>
      </x:c>
      <x:c r="U23" s="15" t="n">
        <x:v>0.1496685909771145</x:v>
      </x:c>
    </x:row>
    <x:row r="24">
      <x:c r="A24" s="13" t="str">
        <x:v>all_360</x:v>
      </x:c>
      <x:c r="B24" s="36" t="n">
        <x:v>45911.833333333336</x:v>
      </x:c>
      <x:c r="C24" s="36" t="n">
        <x:v>45911.916666666664</x:v>
      </x:c>
      <x:c r="D24" s="15" t="n">
        <x:v>13730.526975</x:v>
      </x:c>
      <x:c r="E24" s="15" t="n">
        <x:v>19660.004076999998</x:v>
      </x:c>
      <x:c r="F24" s="15" t="n">
        <x:v>33390.531052</x:v>
      </x:c>
      <x:c r="G24" s="15" t="n">
        <x:v>-5929.477101999997</x:v>
      </x:c>
      <x:c r="H24" s="15" t="n">
        <x:v>61149.048268</x:v>
      </x:c>
      <x:c r="I24" s="15" t="n">
        <x:v>74879.575243</x:v>
      </x:c>
      <x:c r="J24" s="15" t="n">
        <x:v>14790.709085</x:v>
      </x:c>
      <x:c r="K24" s="15" t="n">
        <x:v>7436.628616999999</x:v>
      </x:c>
      <x:c r="L24" s="15" t="n">
        <x:v>22227.337702</x:v>
      </x:c>
      <x:c r="M24" s="15" t="n">
        <x:v>7354.080468000001</x:v>
      </x:c>
      <x:c r="N24" s="15" t="n">
        <x:v>0.4490057729313643</x:v>
      </x:c>
      <x:c r="O24" s="15" t="n">
        <x:v>52227.700000000004</x:v>
      </x:c>
      <x:c r="P24" s="15" t="n">
        <x:v>244906.89831</x:v>
      </x:c>
      <x:c r="Q24" s="15" t="n">
        <x:v>1780</x:v>
      </x:c>
      <x:c r="R24" s="15" t="n">
        <x:v>3.7531644390511376</x:v>
      </x:c>
      <x:c r="S24" s="15" t="n">
        <x:v>0.10654165778819502</x:v>
      </x:c>
      <x:c r="T24" s="15" t="n">
        <x:v>0</x:v>
      </x:c>
      <x:c r="U24" s="15" t="n">
        <x:v>0.1704303365999138</x:v>
      </x:c>
    </x:row>
    <x:row r="25">
      <x:c r="A25" s="13" t="str">
        <x:v>all_360</x:v>
      </x:c>
      <x:c r="B25" s="36" t="n">
        <x:v>45911.916666666664</x:v>
      </x:c>
      <x:c r="C25" s="36" t="n">
        <x:v>45912</x:v>
      </x:c>
      <x:c r="D25" s="15" t="n">
        <x:v>22875.037663</x:v>
      </x:c>
      <x:c r="E25" s="15" t="n">
        <x:v>22672.528728</x:v>
      </x:c>
      <x:c r="F25" s="15" t="n">
        <x:v>45547.566391</x:v>
      </x:c>
      <x:c r="G25" s="15" t="n">
        <x:v>202.50893499999802</x:v>
      </x:c>
      <x:c r="H25" s="15" t="n">
        <x:v>78052.44388</x:v>
      </x:c>
      <x:c r="I25" s="15" t="n">
        <x:v>100927.481543</x:v>
      </x:c>
      <x:c r="J25" s="15" t="n">
        <x:v>4593.888426</x:v>
      </x:c>
      <x:c r="K25" s="15" t="n">
        <x:v>1956.669327</x:v>
      </x:c>
      <x:c r="L25" s="15" t="n">
        <x:v>6550.557753000001</x:v>
      </x:c>
      <x:c r="M25" s="15" t="n">
        <x:v>2637.2190990000004</x:v>
      </x:c>
      <x:c r="N25" s="15" t="n">
        <x:v>0.3194888178913859</x:v>
      </x:c>
      <x:c r="O25" s="15" t="n">
        <x:v>70648.97</x:v>
      </x:c>
      <x:c r="P25" s="15" t="n">
        <x:v>331664.42574</x:v>
      </x:c>
      <x:c r="Q25" s="15" t="n">
        <x:v>2352</x:v>
      </x:c>
      <x:c r="R25" s="15" t="n">
        <x:v>4.02564946152848</x:v>
      </x:c>
      <x:c r="S25" s="15" t="n">
        <x:v>0.10651896037494613</x:v>
      </x:c>
      <x:c r="T25" s="15" t="n">
        <x:v>0.012877497497243429</x:v>
      </x:c>
      <x:c r="U25" s="15" t="n">
        <x:v>0.12768674185997808</x:v>
      </x:c>
    </x:row>
    <x:row r="26">
      <x:c r="A26" s="13" t="str">
        <x:v>all_360</x:v>
      </x:c>
      <x:c r="B26" s="36" t="n">
        <x:v>45912</x:v>
      </x:c>
      <x:c r="C26" s="36" t="n">
        <x:v>45912.083333333336</x:v>
      </x:c>
      <x:c r="D26" s="15" t="n">
        <x:v>17834.469465</x:v>
      </x:c>
      <x:c r="E26" s="15" t="n">
        <x:v>18779.848504</x:v>
      </x:c>
      <x:c r="F26" s="15" t="n">
        <x:v>36614.317968999996</x:v>
      </x:c>
      <x:c r="G26" s="15" t="n">
        <x:v>-945.3790390000031</x:v>
      </x:c>
      <x:c r="H26" s="15" t="n">
        <x:v>78722.052829</x:v>
      </x:c>
      <x:c r="I26" s="15" t="n">
        <x:v>96556.522294</x:v>
      </x:c>
      <x:c r="J26" s="15" t="n">
        <x:v>10751.078945000001</x:v>
      </x:c>
      <x:c r="K26" s="15" t="n">
        <x:v>4558.376361</x:v>
      </x:c>
      <x:c r="L26" s="15" t="n">
        <x:v>15309.455306</x:v>
      </x:c>
      <x:c r="M26" s="15" t="n">
        <x:v>6192.7025840000015</x:v>
      </x:c>
      <x:c r="N26" s="15" t="n">
        <x:v>1.0867249094395943</x:v>
      </x:c>
      <x:c r="O26" s="15" t="n">
        <x:v>128125.16</x:v>
      </x:c>
      <x:c r="P26" s="15" t="n">
        <x:v>603657.49382</x:v>
      </x:c>
      <x:c r="Q26" s="15" t="n">
        <x:v>3948</x:v>
      </x:c>
      <x:c r="R26" s="15" t="n">
        <x:v>5.435275994816058</x:v>
      </x:c>
      <x:c r="S26" s="15" t="n">
        <x:v>0.10636034886194468</x:v>
      </x:c>
      <x:c r="T26" s="15" t="n">
        <x:v>0.08469193309336154</x:v>
      </x:c>
      <x:c r="U26" s="15" t="n">
        <x:v>0.10656436487638254</x:v>
      </x:c>
    </x:row>
    <x:row r="27">
      <x:c r="A27" s="13" t="str">
        <x:v>all_360</x:v>
      </x:c>
      <x:c r="B27" s="36" t="n">
        <x:v>45912.083333333336</x:v>
      </x:c>
      <x:c r="C27" s="36" t="n">
        <x:v>45912.166666666664</x:v>
      </x:c>
      <x:c r="D27" s="15" t="n">
        <x:v>16075.503572000001</x:v>
      </x:c>
      <x:c r="E27" s="15" t="n">
        <x:v>13938.164347</x:v>
      </x:c>
      <x:c r="F27" s="15" t="n">
        <x:v>30013.667919</x:v>
      </x:c>
      <x:c r="G27" s="15" t="n">
        <x:v>2137.3392250000015</x:v>
      </x:c>
      <x:c r="H27" s="15" t="n">
        <x:v>231974.765383</x:v>
      </x:c>
      <x:c r="I27" s="15" t="n">
        <x:v>248050.26895499998</x:v>
      </x:c>
      <x:c r="J27" s="15" t="n">
        <x:v>5202.309348</x:v>
      </x:c>
      <x:c r="K27" s="15" t="n">
        <x:v>8522.290018</x:v>
      </x:c>
      <x:c r="L27" s="15" t="n">
        <x:v>13724.599365999999</x:v>
      </x:c>
      <x:c r="M27" s="15" t="n">
        <x:v>-3319.98067</x:v>
      </x:c>
      <x:c r="N27" s="15" t="n">
        <x:v>0.7244832729597233</x:v>
      </x:c>
      <x:c r="O27" s="15" t="n">
        <x:v>91267.94</x:v>
      </x:c>
      <x:c r="P27" s="15" t="n">
        <x:v>427625.8483</x:v>
      </x:c>
      <x:c r="Q27" s="15" t="n">
        <x:v>2179</x:v>
      </x:c>
      <x:c r="R27" s="15" t="n">
        <x:v>3.8230165715495312</x:v>
      </x:c>
      <x:c r="S27" s="15" t="n">
        <x:v>0.12801365478984916</x:v>
      </x:c>
      <x:c r="T27" s="15" t="n">
        <x:v>0.06406149903908087</x:v>
      </x:c>
      <x:c r="U27" s="15" t="n">
        <x:v>0.1493492639214944</x:v>
      </x:c>
    </x:row>
    <x:row r="28">
      <x:c r="A28" s="13" t="str">
        <x:v>all_360</x:v>
      </x:c>
      <x:c r="B28" s="36" t="n">
        <x:v>45912.166666666664</x:v>
      </x:c>
      <x:c r="C28" s="36" t="n">
        <x:v>45912.25</x:v>
      </x:c>
      <x:c r="D28" s="15" t="n">
        <x:v>20989.116654999998</x:v>
      </x:c>
      <x:c r="E28" s="15" t="n">
        <x:v>21139.377781</x:v>
      </x:c>
      <x:c r="F28" s="15" t="n">
        <x:v>42128.49443599999</x:v>
      </x:c>
      <x:c r="G28" s="15" t="n">
        <x:v>-150.26112600000124</x:v>
      </x:c>
      <x:c r="H28" s="15" t="n">
        <x:v>59054.135568</x:v>
      </x:c>
      <x:c r="I28" s="15" t="n">
        <x:v>80043.25222299999</x:v>
      </x:c>
      <x:c r="J28" s="15" t="n">
        <x:v>1301.13416</x:v>
      </x:c>
      <x:c r="K28" s="15" t="n">
        <x:v>2942.818797</x:v>
      </x:c>
      <x:c r="L28" s="15" t="n">
        <x:v>4243.9529569999995</x:v>
      </x:c>
      <x:c r="M28" s="15" t="n">
        <x:v>-1641.6846369999998</x:v>
      </x:c>
      <x:c r="N28" s="15" t="n">
        <x:v>0.8336896109448608</x:v>
      </x:c>
      <x:c r="O28" s="15" t="n">
        <x:v>48321.26</x:v>
      </x:c>
      <x:c r="P28" s="15" t="n">
        <x:v>226377.06539</x:v>
      </x:c>
      <x:c r="Q28" s="15" t="n">
        <x:v>1850</x:v>
      </x:c>
      <x:c r="R28" s="15" t="n">
        <x:v>4.033818154357838</x:v>
      </x:c>
      <x:c r="S28" s="15" t="n">
        <x:v>0.17039403620873195</x:v>
      </x:c>
      <x:c r="T28" s="15" t="n">
        <x:v>0.0063222429868670105</x:v>
      </x:c>
      <x:c r="U28" s="15" t="n">
        <x:v>0.08552490912977495</x:v>
      </x:c>
    </x:row>
    <x:row r="29">
      <x:c r="A29" s="13" t="str">
        <x:v>all_360</x:v>
      </x:c>
      <x:c r="B29" s="36" t="n">
        <x:v>45912.25</x:v>
      </x:c>
      <x:c r="C29" s="36" t="n">
        <x:v>45912.333333333336</x:v>
      </x:c>
      <x:c r="D29" s="15" t="n">
        <x:v>16425.17564</x:v>
      </x:c>
      <x:c r="E29" s="15" t="n">
        <x:v>19703.778114</x:v>
      </x:c>
      <x:c r="F29" s="15" t="n">
        <x:v>36128.953754</x:v>
      </x:c>
      <x:c r="G29" s="15" t="n">
        <x:v>-3278.6024739999993</x:v>
      </x:c>
      <x:c r="H29" s="15" t="n">
        <x:v>32468.25548</x:v>
      </x:c>
      <x:c r="I29" s="15" t="n">
        <x:v>48893.43112</x:v>
      </x:c>
      <x:c r="J29" s="15" t="n">
        <x:v>2395.260664</x:v>
      </x:c>
      <x:c r="K29" s="15" t="n">
        <x:v>7634.026059</x:v>
      </x:c>
      <x:c r="L29" s="15" t="n">
        <x:v>10029.286723</x:v>
      </x:c>
      <x:c r="M29" s="15" t="n">
        <x:v>-5238.765395</x:v>
      </x:c>
      <x:c r="N29" s="15" t="n">
        <x:v>0.8920985556499536</x:v>
      </x:c>
      <x:c r="O29" s="15" t="n">
        <x:v>96574.6</x:v>
      </x:c>
      <x:c r="P29" s="15" t="n">
        <x:v>452637.41231</x:v>
      </x:c>
      <x:c r="Q29" s="15" t="n">
        <x:v>3054</x:v>
      </x:c>
      <x:c r="R29" s="15" t="n">
        <x:v>4.435994654925612</x:v>
      </x:c>
      <x:c r="S29" s="15" t="n">
        <x:v>0.17032148179688678</x:v>
      </x:c>
      <x:c r="T29" s="15" t="n">
        <x:v>0.02134927412468235</x:v>
      </x:c>
      <x:c r="U29" s="15" t="n">
        <x:v>0.1279590531030106</x:v>
      </x:c>
    </x:row>
    <x:row r="30">
      <x:c r="A30" s="13" t="str">
        <x:v>all_360</x:v>
      </x:c>
      <x:c r="B30" s="36" t="n">
        <x:v>45912.333333333336</x:v>
      </x:c>
      <x:c r="C30" s="36" t="n">
        <x:v>45912.416666666664</x:v>
      </x:c>
      <x:c r="D30" s="15" t="n">
        <x:v>18346.356394</x:v>
      </x:c>
      <x:c r="E30" s="15" t="n">
        <x:v>17549.126428</x:v>
      </x:c>
      <x:c r="F30" s="15" t="n">
        <x:v>35895.482822</x:v>
      </x:c>
      <x:c r="G30" s="15" t="n">
        <x:v>797.229965999999</x:v>
      </x:c>
      <x:c r="H30" s="15" t="n">
        <x:v>70987.894556</x:v>
      </x:c>
      <x:c r="I30" s="15" t="n">
        <x:v>89334.25095</x:v>
      </x:c>
      <x:c r="J30" s="15" t="n">
        <x:v>2193.163699</x:v>
      </x:c>
      <x:c r="K30" s="15" t="n">
        <x:v>21494.612831</x:v>
      </x:c>
      <x:c r="L30" s="15" t="n">
        <x:v>23687.77653</x:v>
      </x:c>
      <x:c r="M30" s="15" t="n">
        <x:v>-19301.449131999998</x:v>
      </x:c>
      <x:c r="N30" s="15" t="n">
        <x:v>0.8985879332477495</x:v>
      </x:c>
      <x:c r="O30" s="15" t="n">
        <x:v>223686.48</x:v>
      </x:c>
      <x:c r="P30" s="15" t="n">
        <x:v>1041237.98516</x:v>
      </x:c>
      <x:c r="Q30" s="15" t="n">
        <x:v>3166</x:v>
      </x:c>
      <x:c r="R30" s="15" t="n">
        <x:v>3.9111496104571764</x:v>
      </x:c>
      <x:c r="S30" s="15" t="n">
        <x:v>0.23671185711211518</x:v>
      </x:c>
      <x:c r="T30" s="15" t="n">
        <x:v>0.3164059624602089</x:v>
      </x:c>
      <x:c r="U30" s="15" t="n">
        <x:v>0.23671185711211518</x:v>
      </x:c>
    </x:row>
    <x:row r="31">
      <x:c r="A31" s="13" t="str">
        <x:v>all_360</x:v>
      </x:c>
      <x:c r="B31" s="36" t="n">
        <x:v>45912.416666666664</x:v>
      </x:c>
      <x:c r="C31" s="36" t="n">
        <x:v>45912.5</x:v>
      </x:c>
      <x:c r="D31" s="15" t="n">
        <x:v>26603.620399</x:v>
      </x:c>
      <x:c r="E31" s="15" t="n">
        <x:v>30510.692278</x:v>
      </x:c>
      <x:c r="F31" s="15" t="n">
        <x:v>57114.312676999994</x:v>
      </x:c>
      <x:c r="G31" s="15" t="n">
        <x:v>-3907.071878999999</x:v>
      </x:c>
      <x:c r="H31" s="15" t="n">
        <x:v>168717.922713</x:v>
      </x:c>
      <x:c r="I31" s="15" t="n">
        <x:v>195321.543112</x:v>
      </x:c>
      <x:c r="J31" s="15" t="n">
        <x:v>19052.280747</x:v>
      </x:c>
      <x:c r="K31" s="15" t="n">
        <x:v>10479.660789</x:v>
      </x:c>
      <x:c r="L31" s="15" t="n">
        <x:v>29531.941536</x:v>
      </x:c>
      <x:c r="M31" s="15" t="n">
        <x:v>8572.619958000001</x:v>
      </x:c>
      <x:c r="N31" s="15" t="n">
        <x:v>0.6248653307476818</x:v>
      </x:c>
      <x:c r="O31" s="15" t="n">
        <x:v>55441.62</x:v>
      </x:c>
      <x:c r="P31" s="15" t="n">
        <x:v>256983.21163</x:v>
      </x:c>
      <x:c r="Q31" s="15" t="n">
        <x:v>1956</x:v>
      </x:c>
      <x:c r="R31" s="15" t="n">
        <x:v>4.615733786507303</x:v>
      </x:c>
      <x:c r="S31" s="15" t="n">
        <x:v>0.10775862068965747</x:v>
      </x:c>
      <x:c r="T31" s="15" t="n">
        <x:v>0</x:v>
      </x:c>
      <x:c r="U31" s="15" t="n">
        <x:v>0.08631851532154844</x:v>
      </x:c>
    </x:row>
    <x:row r="32">
      <x:c r="A32" s="13" t="str">
        <x:v>all_360</x:v>
      </x:c>
      <x:c r="B32" s="36" t="n">
        <x:v>45912.5</x:v>
      </x:c>
      <x:c r="C32" s="36" t="n">
        <x:v>45912.583333333336</x:v>
      </x:c>
      <x:c r="D32" s="15" t="n">
        <x:v>27857.54715</x:v>
      </x:c>
      <x:c r="E32" s="15" t="n">
        <x:v>24182.135755</x:v>
      </x:c>
      <x:c r="F32" s="15" t="n">
        <x:v>52039.682904999994</x:v>
      </x:c>
      <x:c r="G32" s="15" t="n">
        <x:v>3675.411394999999</x:v>
      </x:c>
      <x:c r="H32" s="15" t="n">
        <x:v>36862.426051</x:v>
      </x:c>
      <x:c r="I32" s="15" t="n">
        <x:v>64719.973201</x:v>
      </x:c>
      <x:c r="J32" s="15" t="n">
        <x:v>8441.835163</x:v>
      </x:c>
      <x:c r="K32" s="15" t="n">
        <x:v>7856.7726649999995</x:v>
      </x:c>
      <x:c r="L32" s="15" t="n">
        <x:v>16298.607828</x:v>
      </x:c>
      <x:c r="M32" s="15" t="n">
        <x:v>585.0624980000002</x:v>
      </x:c>
      <x:c r="N32" s="15" t="n">
        <x:v>1.449902618480852</x:v>
      </x:c>
      <x:c r="O32" s="15" t="n">
        <x:v>253367.22</x:v>
      </x:c>
      <x:c r="P32" s="15" t="n">
        <x:v>1176444.25749</x:v>
      </x:c>
      <x:c r="Q32" s="15" t="n">
        <x:v>3724</x:v>
      </x:c>
      <x:c r="R32" s="15" t="n">
        <x:v>5.732954176117788</x:v>
      </x:c>
      <x:c r="S32" s="15" t="n">
        <x:v>0.10815487778498278</x:v>
      </x:c>
      <x:c r="T32" s="15" t="n">
        <x:v>-0.02892968115444372</x:v>
      </x:c>
      <x:c r="U32" s="15" t="n">
        <x:v>0.10827197921178255</x:v>
      </x:c>
    </x:row>
    <x:row r="33">
      <x:c r="A33" s="13" t="str">
        <x:v>all_360</x:v>
      </x:c>
      <x:c r="B33" s="36" t="n">
        <x:v>45912.583333333336</x:v>
      </x:c>
      <x:c r="C33" s="36" t="n">
        <x:v>45912.666666666664</x:v>
      </x:c>
      <x:c r="D33" s="15" t="n">
        <x:v>33920.830126</x:v>
      </x:c>
      <x:c r="E33" s="15" t="n">
        <x:v>34664.264509</x:v>
      </x:c>
      <x:c r="F33" s="15" t="n">
        <x:v>68585.094635</x:v>
      </x:c>
      <x:c r="G33" s="15" t="n">
        <x:v>-743.4343829999998</x:v>
      </x:c>
      <x:c r="H33" s="15" t="n">
        <x:v>111652.077656</x:v>
      </x:c>
      <x:c r="I33" s="15" t="n">
        <x:v>145572.907782</x:v>
      </x:c>
      <x:c r="J33" s="15" t="n">
        <x:v>8911.756697</x:v>
      </x:c>
      <x:c r="K33" s="15" t="n">
        <x:v>5209.660191</x:v>
      </x:c>
      <x:c r="L33" s="15" t="n">
        <x:v>14121.416888</x:v>
      </x:c>
      <x:c r="M33" s="15" t="n">
        <x:v>3702.0965060000008</x:v>
      </x:c>
      <x:c r="N33" s="15" t="n">
        <x:v>0.9654580562111121</x:v>
      </x:c>
      <x:c r="O33" s="15" t="n">
        <x:v>84081.9</x:v>
      </x:c>
      <x:c r="P33" s="15" t="n">
        <x:v>392087.11625</x:v>
      </x:c>
      <x:c r="Q33" s="15" t="n">
        <x:v>2370</x:v>
      </x:c>
      <x:c r="R33" s="15" t="n">
        <x:v>6.177720211526783</x:v>
      </x:c>
      <x:c r="S33" s="15" t="n">
        <x:v>0.21390374331550221</x:v>
      </x:c>
      <x:c r="T33" s="15" t="n">
        <x:v>-0.015381045823104067</x:v>
      </x:c>
      <x:c r="U33" s="15" t="n">
        <x:v>0.19305019305020377</x:v>
      </x:c>
    </x:row>
    <x:row r="34">
      <x:c r="A34" s="13" t="str">
        <x:v>all_360</x:v>
      </x:c>
      <x:c r="B34" s="36" t="n">
        <x:v>45912.666666666664</x:v>
      </x:c>
      <x:c r="C34" s="36" t="n">
        <x:v>45912.75</x:v>
      </x:c>
      <x:c r="D34" s="15" t="n">
        <x:v>69007.37674400001</x:v>
      </x:c>
      <x:c r="E34" s="15" t="n">
        <x:v>68260.098119</x:v>
      </x:c>
      <x:c r="F34" s="15" t="n">
        <x:v>137267.474863</x:v>
      </x:c>
      <x:c r="G34" s="15" t="n">
        <x:v>747.2786250000063</x:v>
      </x:c>
      <x:c r="H34" s="15" t="n">
        <x:v>59032.418999</x:v>
      </x:c>
      <x:c r="I34" s="15" t="n">
        <x:v>128039.79574300001</x:v>
      </x:c>
      <x:c r="J34" s="15" t="n">
        <x:v>11437.789029</x:v>
      </x:c>
      <x:c r="K34" s="15" t="n">
        <x:v>5748.8992960000005</x:v>
      </x:c>
      <x:c r="L34" s="15" t="n">
        <x:v>17186.688325</x:v>
      </x:c>
      <x:c r="M34" s="15" t="n">
        <x:v>5688.889732999999</x:v>
      </x:c>
      <x:c r="N34" s="15" t="n">
        <x:v>1.1820330969267272</x:v>
      </x:c>
      <x:c r="O34" s="15" t="n">
        <x:v>81221.84</x:v>
      </x:c>
      <x:c r="P34" s="15" t="n">
        <x:v>380022.51943</x:v>
      </x:c>
      <x:c r="Q34" s="15" t="n">
        <x:v>2476</x:v>
      </x:c>
      <x:c r="R34" s="15" t="n">
        <x:v>5.582430418749462</x:v>
      </x:c>
      <x:c r="S34" s="15" t="n">
        <x:v>0.1502468340845553</x:v>
      </x:c>
      <x:c r="T34" s="15" t="n">
        <x:v>0.007674907601451508</x:v>
      </x:c>
      <x:c r="U34" s="15" t="n">
        <x:v>0.10715816545222578</x:v>
      </x:c>
    </x:row>
    <x:row r="35">
      <x:c r="A35" s="13" t="str">
        <x:v>all_360</x:v>
      </x:c>
      <x:c r="B35" s="36" t="n">
        <x:v>45912.75</x:v>
      </x:c>
      <x:c r="C35" s="36" t="n">
        <x:v>45912.833333333336</x:v>
      </x:c>
      <x:c r="D35" s="15" t="n">
        <x:v>46583.904854</x:v>
      </x:c>
      <x:c r="E35" s="15" t="n">
        <x:v>49912.193503999995</x:v>
      </x:c>
      <x:c r="F35" s="15" t="n">
        <x:v>96496.09835799999</x:v>
      </x:c>
      <x:c r="G35" s="15" t="n">
        <x:v>-3328.288649999995</x:v>
      </x:c>
      <x:c r="H35" s="15" t="n">
        <x:v>46194.65568</x:v>
      </x:c>
      <x:c r="I35" s="15" t="n">
        <x:v>92778.560534</x:v>
      </x:c>
      <x:c r="J35" s="15" t="n">
        <x:v>14113.620522000001</x:v>
      </x:c>
      <x:c r="K35" s="15" t="n">
        <x:v>4587.578576</x:v>
      </x:c>
      <x:c r="L35" s="15" t="n">
        <x:v>18701.199098</x:v>
      </x:c>
      <x:c r="M35" s="15" t="n">
        <x:v>9526.041946000001</x:v>
      </x:c>
      <x:c r="N35" s="15" t="n">
        <x:v>1.0857994464551874</x:v>
      </x:c>
      <x:c r="O35" s="15" t="n">
        <x:v>115534.94</x:v>
      </x:c>
      <x:c r="P35" s="15" t="n">
        <x:v>545678.74568</x:v>
      </x:c>
      <x:c r="Q35" s="15" t="n">
        <x:v>2824</x:v>
      </x:c>
      <x:c r="R35" s="15" t="n">
        <x:v>3.980013448249675</x:v>
      </x:c>
      <x:c r="S35" s="15" t="n">
        <x:v>0.1474926253687392</x:v>
      </x:c>
      <x:c r="T35" s="15" t="n">
        <x:v>0.0230033588515699</x:v>
      </x:c>
      <x:c r="U35" s="15" t="n">
        <x:v>0.1474926253687392</x:v>
      </x:c>
    </x:row>
    <x:row r="36">
      <x:c r="A36" s="13" t="str">
        <x:v>all_360</x:v>
      </x:c>
      <x:c r="B36" s="36" t="n">
        <x:v>45912.833333333336</x:v>
      </x:c>
      <x:c r="C36" s="36" t="n">
        <x:v>45912.916666666664</x:v>
      </x:c>
      <x:c r="D36" s="15" t="n">
        <x:v>10132.299676999999</x:v>
      </x:c>
      <x:c r="E36" s="15" t="n">
        <x:v>11032.592089</x:v>
      </x:c>
      <x:c r="F36" s="15" t="n">
        <x:v>21164.891766</x:v>
      </x:c>
      <x:c r="G36" s="15" t="n">
        <x:v>-900.2924120000007</x:v>
      </x:c>
      <x:c r="H36" s="15" t="n">
        <x:v>24898.159616</x:v>
      </x:c>
      <x:c r="I36" s="15" t="n">
        <x:v>35030.459293</x:v>
      </x:c>
      <x:c r="J36" s="15" t="n">
        <x:v>11708.404088</x:v>
      </x:c>
      <x:c r="K36" s="15" t="n">
        <x:v>13496.780368</x:v>
      </x:c>
      <x:c r="L36" s="15" t="n">
        <x:v>25205.184456</x:v>
      </x:c>
      <x:c r="M36" s="15" t="n">
        <x:v>-1788.3762800000004</x:v>
      </x:c>
      <x:c r="N36" s="15" t="n">
        <x:v>0.674963087956128</x:v>
      </x:c>
      <x:c r="O36" s="15" t="n">
        <x:v>96010.3</x:v>
      </x:c>
      <x:c r="P36" s="15" t="n">
        <x:v>453157.48883</x:v>
      </x:c>
      <x:c r="Q36" s="15" t="n">
        <x:v>2063</x:v>
      </x:c>
      <x:c r="R36" s="15" t="n">
        <x:v>4.679247526574759</x:v>
      </x:c>
      <x:c r="S36" s="15" t="n">
        <x:v>0.19063757678459137</x:v>
      </x:c>
      <x:c r="T36" s="15" t="n">
        <x:v>0.06364022061943198</x:v>
      </x:c>
      <x:c r="U36" s="15" t="n">
        <x:v>0.14836795252224366</x:v>
      </x:c>
    </x:row>
    <x:row r="37">
      <x:c r="A37" s="13" t="str">
        <x:v>all_360</x:v>
      </x:c>
      <x:c r="B37" s="36" t="n">
        <x:v>45912.916666666664</x:v>
      </x:c>
      <x:c r="C37" s="36" t="n">
        <x:v>45913</x:v>
      </x:c>
      <x:c r="D37" s="15" t="n">
        <x:v>260152.93765100001</x:v>
      </x:c>
      <x:c r="E37" s="15" t="n">
        <x:v>259061.891828</x:v>
      </x:c>
      <x:c r="F37" s="15" t="n">
        <x:v>519214.829479</x:v>
      </x:c>
      <x:c r="G37" s="15" t="n">
        <x:v>1091.0458230000222</x:v>
      </x:c>
      <x:c r="H37" s="15" t="n">
        <x:v>162765.461319</x:v>
      </x:c>
      <x:c r="I37" s="15" t="n">
        <x:v>422918.39897</x:v>
      </x:c>
      <x:c r="J37" s="15" t="n">
        <x:v>6181.230812</x:v>
      </x:c>
      <x:c r="K37" s="15" t="n">
        <x:v>3921.893004</x:v>
      </x:c>
      <x:c r="L37" s="15" t="n">
        <x:v>10103.123816</x:v>
      </x:c>
      <x:c r="M37" s="15" t="n">
        <x:v>2259.3378079999998</x:v>
      </x:c>
      <x:c r="N37" s="15" t="n">
        <x:v>0.7201864011861853</x:v>
      </x:c>
      <x:c r="O37" s="15" t="n">
        <x:v>93013.69</x:v>
      </x:c>
      <x:c r="P37" s="15" t="n">
        <x:v>441170.41741</x:v>
      </x:c>
      <x:c r="Q37" s="15" t="n">
        <x:v>2304</x:v>
      </x:c>
      <x:c r="R37" s="15" t="n">
        <x:v>3.9862229374447278</x:v>
      </x:c>
      <x:c r="S37" s="15" t="n">
        <x:v>0.1683147485798453</x:v>
      </x:c>
      <x:c r="T37" s="15" t="n">
        <x:v>0.015863741205068838</x:v>
      </x:c>
      <x:c r="U37" s="15" t="n">
        <x:v>0.16920473773265332</x:v>
      </x:c>
    </x:row>
    <x:row r="38">
      <x:c r="A38" s="13" t="str">
        <x:v>all_360</x:v>
      </x:c>
      <x:c r="B38" s="36" t="n">
        <x:v>45913</x:v>
      </x:c>
      <x:c r="C38" s="36" t="n">
        <x:v>45913.083333333336</x:v>
      </x:c>
      <x:c r="D38" s="15" t="n">
        <x:v>94488.466629</x:v>
      </x:c>
      <x:c r="E38" s="15" t="n">
        <x:v>95737.240642</x:v>
      </x:c>
      <x:c r="F38" s="15" t="n">
        <x:v>190225.70727100002</x:v>
      </x:c>
      <x:c r="G38" s="15" t="n">
        <x:v>-1248.774013000002</x:v>
      </x:c>
      <x:c r="H38" s="15" t="n">
        <x:v>168509.925977</x:v>
      </x:c>
      <x:c r="I38" s="15" t="n">
        <x:v>262998.392606</x:v>
      </x:c>
      <x:c r="J38" s="15" t="n">
        <x:v>10264.692823</x:v>
      </x:c>
      <x:c r="K38" s="15" t="n">
        <x:v>3113.501537</x:v>
      </x:c>
      <x:c r="L38" s="15" t="n">
        <x:v>13378.19436</x:v>
      </x:c>
      <x:c r="M38" s="15" t="n">
        <x:v>7151.191285999999</x:v>
      </x:c>
      <x:c r="N38" s="15" t="n">
        <x:v>1.0317961676142238</x:v>
      </x:c>
      <x:c r="O38" s="15" t="n">
        <x:v>146355.93</x:v>
      </x:c>
      <x:c r="P38" s="15" t="n">
        <x:v>696824.44014</x:v>
      </x:c>
      <x:c r="Q38" s="15" t="n">
        <x:v>3651</x:v>
      </x:c>
      <x:c r="R38" s="15" t="n">
        <x:v>5.841029879190285</x:v>
      </x:c>
      <x:c r="S38" s="15" t="n">
        <x:v>0.20920502092051096</x:v>
      </x:c>
      <x:c r="T38" s="15" t="n">
        <x:v>0.04184975936387669</x:v>
      </x:c>
      <x:c r="U38" s="15" t="n">
        <x:v>0.12620950778290396</x:v>
      </x:c>
    </x:row>
    <x:row r="39">
      <x:c r="A39" s="13" t="str">
        <x:v>all_360</x:v>
      </x:c>
      <x:c r="B39" s="36" t="n">
        <x:v>45913.083333333336</x:v>
      </x:c>
      <x:c r="C39" s="36" t="n">
        <x:v>45913.166666666664</x:v>
      </x:c>
      <x:c r="D39" s="15" t="n">
        <x:v>57597.116535</x:v>
      </x:c>
      <x:c r="E39" s="15" t="n">
        <x:v>57916.343134</x:v>
      </x:c>
      <x:c r="F39" s="15" t="n">
        <x:v>115513.459669</x:v>
      </x:c>
      <x:c r="G39" s="15" t="n">
        <x:v>-319.22659900000144</x:v>
      </x:c>
      <x:c r="H39" s="15" t="n">
        <x:v>103297.442198</x:v>
      </x:c>
      <x:c r="I39" s="15" t="n">
        <x:v>160894.558733</x:v>
      </x:c>
      <x:c r="J39" s="15" t="n">
        <x:v>4317.022393</x:v>
      </x:c>
      <x:c r="K39" s="15" t="n">
        <x:v>12216.060342</x:v>
      </x:c>
      <x:c r="L39" s="15" t="n">
        <x:v>16533.082735</x:v>
      </x:c>
      <x:c r="M39" s="15" t="n">
        <x:v>-7899.0379490000005</x:v>
      </x:c>
      <x:c r="N39" s="15" t="n">
        <x:v>1.3066385669125264</x:v>
      </x:c>
      <x:c r="O39" s="15" t="n">
        <x:v>493117.77</x:v>
      </x:c>
      <x:c r="P39" s="15" t="n">
        <x:v>2343743.28517</x:v>
      </x:c>
      <x:c r="Q39" s="15" t="n">
        <x:v>5423</x:v>
      </x:c>
      <x:c r="R39" s="15" t="n">
        <x:v>4.687401835692295</x:v>
      </x:c>
      <x:c r="S39" s="15" t="n">
        <x:v>0.7374631268436627</x:v>
      </x:c>
      <x:c r="T39" s="15" t="n">
        <x:v>0.9962956495735753</x:v>
      </x:c>
      <x:c r="U39" s="15" t="n">
        <x:v>0.8836524300441795</x:v>
      </x:c>
    </x:row>
    <x:row r="40">
      <x:c r="A40" s="13" t="str">
        <x:v>all_360</x:v>
      </x:c>
      <x:c r="B40" s="36" t="n">
        <x:v>45913.166666666664</x:v>
      </x:c>
      <x:c r="C40" s="36" t="n">
        <x:v>45913.25</x:v>
      </x:c>
      <x:c r="D40" s="15" t="n">
        <x:v>47073.251658</x:v>
      </x:c>
      <x:c r="E40" s="15" t="n">
        <x:v>45386.370184</x:v>
      </x:c>
      <x:c r="F40" s="15" t="n">
        <x:v>92459.621842</x:v>
      </x:c>
      <x:c r="G40" s="15" t="n">
        <x:v>1686.8814740000016</x:v>
      </x:c>
      <x:c r="H40" s="15" t="n">
        <x:v>74300.042838</x:v>
      </x:c>
      <x:c r="I40" s="15" t="n">
        <x:v>121373.29449599999</x:v>
      </x:c>
      <x:c r="J40" s="15" t="n">
        <x:v>6094.710292</x:v>
      </x:c>
      <x:c r="K40" s="15" t="n">
        <x:v>5917.300109000001</x:v>
      </x:c>
      <x:c r="L40" s="15" t="n">
        <x:v>12012.010401</x:v>
      </x:c>
      <x:c r="M40" s="15" t="n">
        <x:v>177.41018299999905</x:v>
      </x:c>
      <x:c r="N40" s="15" t="n">
        <x:v>0.9661835748792326</x:v>
      </x:c>
      <x:c r="O40" s="15" t="n">
        <x:v>140598.05</x:v>
      </x:c>
      <x:c r="P40" s="15" t="n">
        <x:v>671117.62859</x:v>
      </x:c>
      <x:c r="Q40" s="15" t="n">
        <x:v>2529</x:v>
      </x:c>
      <x:c r="R40" s="15" t="n">
        <x:v>3.5188019156727757</x:v>
      </x:c>
      <x:c r="S40" s="15" t="n">
        <x:v>0.12599748005038824</x:v>
      </x:c>
      <x:c r="T40" s="15" t="n">
        <x:v>0.03671382692301828</x:v>
      </x:c>
      <x:c r="U40" s="15" t="n">
        <x:v>0.14675052410900724</x:v>
      </x:c>
    </x:row>
    <x:row r="41">
      <x:c r="A41" s="13" t="str">
        <x:v>all_360</x:v>
      </x:c>
      <x:c r="B41" s="36" t="n">
        <x:v>45913.25</x:v>
      </x:c>
      <x:c r="C41" s="36" t="n">
        <x:v>45913.333333333336</x:v>
      </x:c>
      <x:c r="D41" s="15" t="n">
        <x:v>65924.469057</x:v>
      </x:c>
      <x:c r="E41" s="15" t="n">
        <x:v>64395.437612</x:v>
      </x:c>
      <x:c r="F41" s="15" t="n">
        <x:v>130319.90666899999</x:v>
      </x:c>
      <x:c r="G41" s="15" t="n">
        <x:v>1529.0314449999933</x:v>
      </x:c>
      <x:c r="H41" s="15" t="n">
        <x:v>60497.083891</x:v>
      </x:c>
      <x:c r="I41" s="15" t="n">
        <x:v>126421.552948</x:v>
      </x:c>
      <x:c r="J41" s="15" t="n">
        <x:v>10695.220996</x:v>
      </x:c>
      <x:c r="K41" s="15" t="n">
        <x:v>9956.948382999999</x:v>
      </x:c>
      <x:c r="L41" s="15" t="n">
        <x:v>20652.169379</x:v>
      </x:c>
      <x:c r="M41" s="15" t="n">
        <x:v>738.272613000001</x:v>
      </x:c>
      <x:c r="N41" s="15" t="n">
        <x:v>0.4589069670421226</x:v>
      </x:c>
      <x:c r="O41" s="15" t="n">
        <x:v>152359.84</x:v>
      </x:c>
      <x:c r="P41" s="15" t="n">
        <x:v>730274.32386</x:v>
      </x:c>
      <x:c r="Q41" s="15" t="n">
        <x:v>2658</x:v>
      </x:c>
      <x:c r="R41" s="15" t="n">
        <x:v>3.7769207446152198</x:v>
      </x:c>
      <x:c r="S41" s="15" t="n">
        <x:v>0.1460767946577568</x:v>
      </x:c>
      <x:c r="T41" s="15" t="n">
        <x:v>0.02111199600335345</x:v>
      </x:c>
      <x:c r="U41" s="15" t="n">
        <x:v>0.125234815278652</x:v>
      </x:c>
    </x:row>
    <x:row r="42">
      <x:c r="A42" s="13" t="str">
        <x:v>all_360</x:v>
      </x:c>
      <x:c r="B42" s="36" t="n">
        <x:v>45913.333333333336</x:v>
      </x:c>
      <x:c r="C42" s="36" t="n">
        <x:v>45913.416666666664</x:v>
      </x:c>
      <x:c r="D42" s="15" t="n">
        <x:v>147763.028001</x:v>
      </x:c>
      <x:c r="E42" s="15" t="n">
        <x:v>151078.52372599998</x:v>
      </x:c>
      <x:c r="F42" s="15" t="n">
        <x:v>298841.551727</x:v>
      </x:c>
      <x:c r="G42" s="15" t="n">
        <x:v>-3315.495724999986</x:v>
      </x:c>
      <x:c r="H42" s="15" t="n">
        <x:v>84842.390902</x:v>
      </x:c>
      <x:c r="I42" s="15" t="n">
        <x:v>232605.418903</x:v>
      </x:c>
      <x:c r="J42" s="15" t="n">
        <x:v>10786.887268</x:v>
      </x:c>
      <x:c r="K42" s="15" t="n">
        <x:v>5272.16525</x:v>
      </x:c>
      <x:c r="L42" s="15" t="n">
        <x:v>16059.052518</x:v>
      </x:c>
      <x:c r="M42" s="15" t="n">
        <x:v>5514.722018</x:v>
      </x:c>
      <x:c r="N42" s="15" t="n">
        <x:v>1.2949039264828794</x:v>
      </x:c>
      <x:c r="O42" s="15" t="n">
        <x:v>175474.76</x:v>
      </x:c>
      <x:c r="P42" s="15" t="n">
        <x:v>845611.94778</x:v>
      </x:c>
      <x:c r="Q42" s="15" t="n">
        <x:v>3715</x:v>
      </x:c>
      <x:c r="R42" s="15" t="n">
        <x:v>3.9839955183181397</x:v>
      </x:c>
      <x:c r="S42" s="15" t="n">
        <x:v>0.16539177175936004</x:v>
      </x:c>
      <x:c r="T42" s="15" t="n">
        <x:v>0.026256819694225886</x:v>
      </x:c>
      <x:c r="U42" s="15" t="n">
        <x:v>0.12409513960703888</x:v>
      </x:c>
    </x:row>
    <x:row r="43">
      <x:c r="A43" s="13" t="str">
        <x:v>all_360</x:v>
      </x:c>
      <x:c r="B43" s="36" t="n">
        <x:v>45913.416666666664</x:v>
      </x:c>
      <x:c r="C43" s="36" t="n">
        <x:v>45913.5</x:v>
      </x:c>
      <x:c r="D43" s="15" t="n">
        <x:v>36097.909847</x:v>
      </x:c>
      <x:c r="E43" s="15" t="n">
        <x:v>35726.705706</x:v>
      </x:c>
      <x:c r="F43" s="15" t="n">
        <x:v>71824.61555300001</x:v>
      </x:c>
      <x:c r="G43" s="15" t="n">
        <x:v>371.204141000002</x:v>
      </x:c>
      <x:c r="H43" s="15" t="n">
        <x:v>124952.561288</x:v>
      </x:c>
      <x:c r="I43" s="15" t="n">
        <x:v>161050.471135</x:v>
      </x:c>
      <x:c r="J43" s="15" t="n">
        <x:v>4486.728571</x:v>
      </x:c>
      <x:c r="K43" s="15" t="n">
        <x:v>27044.116725</x:v>
      </x:c>
      <x:c r="L43" s="15" t="n">
        <x:v>31530.845296</x:v>
      </x:c>
      <x:c r="M43" s="15" t="n">
        <x:v>-22557.388154</x:v>
      </x:c>
      <x:c r="N43" s="15" t="n">
        <x:v>0.9284093253558887</x:v>
      </x:c>
      <x:c r="O43" s="15" t="n">
        <x:v>144252.76</x:v>
      </x:c>
      <x:c r="P43" s="15" t="n">
        <x:v>699343.70877</x:v>
      </x:c>
      <x:c r="Q43" s="15" t="n">
        <x:v>3745</x:v>
      </x:c>
      <x:c r="R43" s="15" t="n">
        <x:v>6.025829497523616</x:v>
      </x:c>
      <x:c r="S43" s="15" t="n">
        <x:v>0.12399256044637319</x:v>
      </x:c>
      <x:c r="T43" s="15" t="n">
        <x:v>0.040750467969152826</x:v>
      </x:c>
      <x:c r="U43" s="15" t="n">
        <x:v>0.1446579871874465</x:v>
      </x:c>
    </x:row>
    <x:row r="44">
      <x:c r="A44" s="13" t="str">
        <x:v>all_360</x:v>
      </x:c>
      <x:c r="B44" s="36" t="n">
        <x:v>45913.5</x:v>
      </x:c>
      <x:c r="C44" s="36" t="n">
        <x:v>45913.583333333336</x:v>
      </x:c>
      <x:c r="D44" s="15" t="n">
        <x:v>66675.251939</x:v>
      </x:c>
      <x:c r="E44" s="15" t="n">
        <x:v>62168.167129999994</x:v>
      </x:c>
      <x:c r="F44" s="15" t="n">
        <x:v>128843.419069</x:v>
      </x:c>
      <x:c r="G44" s="15" t="n">
        <x:v>4507.084809</x:v>
      </x:c>
      <x:c r="H44" s="15" t="n">
        <x:v>410565.683889</x:v>
      </x:c>
      <x:c r="I44" s="15" t="n">
        <x:v>477240.93582799996</x:v>
      </x:c>
      <x:c r="J44" s="15" t="n">
        <x:v>10532.984853</x:v>
      </x:c>
      <x:c r="K44" s="15" t="n">
        <x:v>16636.598027</x:v>
      </x:c>
      <x:c r="L44" s="15" t="n">
        <x:v>27169.58288</x:v>
      </x:c>
      <x:c r="M44" s="15" t="n">
        <x:v>-6103.613174</x:v>
      </x:c>
      <x:c r="N44" s="15" t="n">
        <x:v>2.034107252927886</x:v>
      </x:c>
      <x:c r="O44" s="15" t="n">
        <x:v>230957.42</x:v>
      </x:c>
      <x:c r="P44" s="15" t="n">
        <x:v>1120204.43763</x:v>
      </x:c>
      <x:c r="Q44" s="15" t="n">
        <x:v>6069</x:v>
      </x:c>
      <x:c r="R44" s="15" t="n">
        <x:v>7.213256474338792</x:v>
      </x:c>
      <x:c r="S44" s="15" t="n">
        <x:v>0.1642373229316374</x:v>
      </x:c>
      <x:c r="T44" s="15" t="n">
        <x:v>0.20842017507294308</x:v>
      </x:c>
      <x:c r="U44" s="15" t="n">
        <x:v>0.20682523267838704</x:v>
      </x:c>
    </x:row>
    <x:row r="45">
      <x:c r="A45" s="13" t="str">
        <x:v>all_360</x:v>
      </x:c>
      <x:c r="B45" s="36" t="n">
        <x:v>45913.583333333336</x:v>
      </x:c>
      <x:c r="C45" s="36" t="n">
        <x:v>45913.666666666664</x:v>
      </x:c>
      <x:c r="D45" s="15" t="n">
        <x:v>62521.274147</x:v>
      </x:c>
      <x:c r="E45" s="15" t="n">
        <x:v>64836.467555</x:v>
      </x:c>
      <x:c r="F45" s="15" t="n">
        <x:v>127357.741702</x:v>
      </x:c>
      <x:c r="G45" s="15" t="n">
        <x:v>-2315.1934080000065</x:v>
      </x:c>
      <x:c r="H45" s="15" t="n">
        <x:v>69819.915752</x:v>
      </x:c>
      <x:c r="I45" s="15" t="n">
        <x:v>132341.189899</x:v>
      </x:c>
      <x:c r="J45" s="15" t="n">
        <x:v>18314.614942</x:v>
      </x:c>
      <x:c r="K45" s="15" t="n">
        <x:v>5182.299378</x:v>
      </x:c>
      <x:c r="L45" s="15" t="n">
        <x:v>23496.91432</x:v>
      </x:c>
      <x:c r="M45" s="15" t="n">
        <x:v>13132.315564</x:v>
      </x:c>
      <x:c r="N45" s="15" t="n">
        <x:v>1.8407445708376324</x:v>
      </x:c>
      <x:c r="O45" s="15" t="n">
        <x:v>222383.73</x:v>
      </x:c>
      <x:c r="P45" s="15" t="n">
        <x:v>1079621.43583</x:v>
      </x:c>
      <x:c r="Q45" s="15" t="n">
        <x:v>6806</x:v>
      </x:c>
      <x:c r="R45" s="15" t="n">
        <x:v>9.915246121888256</x:v>
      </x:c>
      <x:c r="S45" s="15" t="n">
        <x:v>0.2263840296357289</x:v>
      </x:c>
      <x:c r="T45" s="15" t="n">
        <x:v>0.03780892551723536</x:v>
      </x:c>
      <x:c r="U45" s="15" t="n">
        <x:v>0.14418125643667068</x:v>
      </x:c>
    </x:row>
    <x:row r="46">
      <x:c r="A46" s="13" t="str">
        <x:v>all_360</x:v>
      </x:c>
      <x:c r="B46" s="36" t="n">
        <x:v>45913.666666666664</x:v>
      </x:c>
      <x:c r="C46" s="36" t="n">
        <x:v>45913.75</x:v>
      </x:c>
      <x:c r="D46" s="15" t="n">
        <x:v>82817.469467</x:v>
      </x:c>
      <x:c r="E46" s="15" t="n">
        <x:v>79464.361411</x:v>
      </x:c>
      <x:c r="F46" s="15" t="n">
        <x:v>162281.830878</x:v>
      </x:c>
      <x:c r="G46" s="15" t="n">
        <x:v>3353.1080559999973</x:v>
      </x:c>
      <x:c r="H46" s="15" t="n">
        <x:v>67448.951696</x:v>
      </x:c>
      <x:c r="I46" s="15" t="n">
        <x:v>150266.421163</x:v>
      </x:c>
      <x:c r="J46" s="15" t="n">
        <x:v>17761.54517</x:v>
      </x:c>
      <x:c r="K46" s="15" t="n">
        <x:v>20106.936235999998</x:v>
      </x:c>
      <x:c r="L46" s="15" t="n">
        <x:v>37868.481406</x:v>
      </x:c>
      <x:c r="M46" s="15" t="n">
        <x:v>-2345.3910659999965</x:v>
      </x:c>
      <x:c r="N46" s="15" t="n">
        <x:v>2.4737167594310474</x:v>
      </x:c>
      <x:c r="O46" s="15" t="n">
        <x:v>285958.04</x:v>
      </x:c>
      <x:c r="P46" s="15" t="n">
        <x:v>1377476.09987</x:v>
      </x:c>
      <x:c r="Q46" s="15" t="n">
        <x:v>8869</x:v>
      </x:c>
      <x:c r="R46" s="15" t="n">
        <x:v>10.262200231915596</x:v>
      </x:c>
      <x:c r="S46" s="15" t="n">
        <x:v>0.1443001443001357</x:v>
      </x:c>
      <x:c r="T46" s="15" t="n">
        <x:v>0.09271533733503645</x:v>
      </x:c>
      <x:c r="U46" s="15" t="n">
        <x:v>0.27196652719665426</x:v>
      </x:c>
    </x:row>
    <x:row r="47">
      <x:c r="A47" s="13" t="str">
        <x:v>all_360</x:v>
      </x:c>
      <x:c r="B47" s="36" t="n">
        <x:v>45913.75</x:v>
      </x:c>
      <x:c r="C47" s="36" t="n">
        <x:v>45913.833333333336</x:v>
      </x:c>
      <x:c r="D47" s="15" t="n">
        <x:v>77188.392937</x:v>
      </x:c>
      <x:c r="E47" s="15" t="n">
        <x:v>79276.754577</x:v>
      </x:c>
      <x:c r="F47" s="15" t="n">
        <x:v>156465.147514</x:v>
      </x:c>
      <x:c r="G47" s="15" t="n">
        <x:v>-2088.361640000003</x:v>
      </x:c>
      <x:c r="H47" s="15" t="n">
        <x:v>241144.06126699998</x:v>
      </x:c>
      <x:c r="I47" s="15" t="n">
        <x:v>318332.45420399995</x:v>
      </x:c>
      <x:c r="J47" s="15" t="n">
        <x:v>5421.231748</x:v>
      </x:c>
      <x:c r="K47" s="15" t="n">
        <x:v>4104.989581</x:v>
      </x:c>
      <x:c r="L47" s="15" t="n">
        <x:v>9526.221329</x:v>
      </x:c>
      <x:c r="M47" s="15" t="n">
        <x:v>1316.2421670000003</x:v>
      </x:c>
      <x:c r="N47" s="15" t="n">
        <x:v>0.8274720728175432</x:v>
      </x:c>
      <x:c r="O47" s="15" t="n">
        <x:v>126920.56</x:v>
      </x:c>
      <x:c r="P47" s="15" t="n">
        <x:v>611318.20927</x:v>
      </x:c>
      <x:c r="Q47" s="15" t="n">
        <x:v>4195</x:v>
      </x:c>
      <x:c r="R47" s="15" t="n">
        <x:v>6.853809458696758</x:v>
      </x:c>
      <x:c r="S47" s="15" t="n">
        <x:v>0.20764119601328623</x:v>
      </x:c>
      <x:c r="T47" s="15" t="n">
        <x:v>0.028888576445684766</x:v>
      </x:c>
      <x:c r="U47" s="15" t="n">
        <x:v>0.20703933747411307</x:v>
      </x:c>
    </x:row>
    <x:row r="48">
      <x:c r="A48" s="13" t="str">
        <x:v>all_360</x:v>
      </x:c>
      <x:c r="B48" s="36" t="n">
        <x:v>45913.833333333336</x:v>
      </x:c>
      <x:c r="C48" s="36" t="n">
        <x:v>45913.916666666664</x:v>
      </x:c>
      <x:c r="D48" s="15" t="n">
        <x:v>31024.411304</x:v>
      </x:c>
      <x:c r="E48" s="15" t="n">
        <x:v>31206.685166</x:v>
      </x:c>
      <x:c r="F48" s="15" t="n">
        <x:v>62231.096470000004</x:v>
      </x:c>
      <x:c r="G48" s="15" t="n">
        <x:v>-182.2738619999982</x:v>
      </x:c>
      <x:c r="H48" s="15" t="n">
        <x:v>169642.28788299998</x:v>
      </x:c>
      <x:c r="I48" s="15" t="n">
        <x:v>200666.699187</x:v>
      </x:c>
      <x:c r="J48" s="15" t="n">
        <x:v>14080.437046000001</x:v>
      </x:c>
      <x:c r="K48" s="15" t="n">
        <x:v>11628.126416000001</x:v>
      </x:c>
      <x:c r="L48" s="15" t="n">
        <x:v>25708.563462000002</x:v>
      </x:c>
      <x:c r="M48" s="15" t="n">
        <x:v>2452.31063</x:v>
      </x:c>
      <x:c r="N48" s="15" t="n">
        <x:v>0.8322929671244286</x:v>
      </x:c>
      <x:c r="O48" s="15" t="n">
        <x:v>114677.79</x:v>
      </x:c>
      <x:c r="P48" s="15" t="n">
        <x:v>554206.68715</x:v>
      </x:c>
      <x:c r="Q48" s="15" t="n">
        <x:v>2659</x:v>
      </x:c>
      <x:c r="R48" s="15" t="n">
        <x:v>4.801939609864547</x:v>
      </x:c>
      <x:c r="S48" s="15" t="n">
        <x:v>0.18629683295384725</x:v>
      </x:c>
      <x:c r="T48" s="15" t="n">
        <x:v>0.06134751463572341</x:v>
      </x:c>
      <x:c r="U48" s="15" t="n">
        <x:v>0.1243265644425895</x:v>
      </x:c>
    </x:row>
    <x:row r="49">
      <x:c r="A49" s="13" t="str">
        <x:v>all_360</x:v>
      </x:c>
      <x:c r="B49" s="36" t="n">
        <x:v>45913.916666666664</x:v>
      </x:c>
      <x:c r="C49" s="36" t="n">
        <x:v>45914</x:v>
      </x:c>
      <x:c r="D49" s="15" t="n">
        <x:v>15761.234887</x:v>
      </x:c>
      <x:c r="E49" s="15" t="n">
        <x:v>15296.220785</x:v>
      </x:c>
      <x:c r="F49" s="15" t="n">
        <x:v>31057.455672</x:v>
      </x:c>
      <x:c r="G49" s="15" t="n">
        <x:v>465.014102000001</x:v>
      </x:c>
      <x:c r="H49" s="15" t="n">
        <x:v>28983.450575</x:v>
      </x:c>
      <x:c r="I49" s="15" t="n">
        <x:v>44744.685462</x:v>
      </x:c>
      <x:c r="J49" s="15" t="n">
        <x:v>1741.213841</x:v>
      </x:c>
      <x:c r="K49" s="15" t="n">
        <x:v>2074.494061</x:v>
      </x:c>
      <x:c r="L49" s="15" t="n">
        <x:v>3815.707902</x:v>
      </x:c>
      <x:c r="M49" s="15" t="n">
        <x:v>-333.2802199999999</x:v>
      </x:c>
      <x:c r="N49" s="15" t="n">
        <x:v>0.620989443179471</x:v>
      </x:c>
      <x:c r="O49" s="15" t="n">
        <x:v>41573.42</x:v>
      </x:c>
      <x:c r="P49" s="15" t="n">
        <x:v>200686.36893</x:v>
      </x:c>
      <x:c r="Q49" s="15" t="n">
        <x:v>1610</x:v>
      </x:c>
      <x:c r="R49" s="15" t="n">
        <x:v>4.101037623201886</x:v>
      </x:c>
      <x:c r="S49" s="15" t="n">
        <x:v>0.14483757500518557</x:v>
      </x:c>
      <x:c r="T49" s="15" t="n">
        <x:v>0.020712510356257763</x:v>
      </x:c>
      <x:c r="U49" s="15" t="n">
        <x:v>0.12430080795525766</x:v>
      </x:c>
    </x:row>
    <x:row r="50">
      <x:c r="A50" s="13" t="str">
        <x:v>all_360</x:v>
      </x:c>
      <x:c r="B50" s="36" t="n">
        <x:v>45914</x:v>
      </x:c>
      <x:c r="C50" s="36" t="n">
        <x:v>45914.083333333336</x:v>
      </x:c>
      <x:c r="D50" s="15" t="n">
        <x:v>13053.628234</x:v>
      </x:c>
      <x:c r="E50" s="15" t="n">
        <x:v>15008.527855</x:v>
      </x:c>
      <x:c r="F50" s="15" t="n">
        <x:v>28062.156089</x:v>
      </x:c>
      <x:c r="G50" s="15" t="n">
        <x:v>-1954.8996210000005</x:v>
      </x:c>
      <x:c r="H50" s="15" t="n">
        <x:v>32388.209131</x:v>
      </x:c>
      <x:c r="I50" s="15" t="n">
        <x:v>45441.837365</x:v>
      </x:c>
      <x:c r="J50" s="15" t="n">
        <x:v>4680.162647</x:v>
      </x:c>
      <x:c r="K50" s="15" t="n">
        <x:v>14734.206881</x:v>
      </x:c>
      <x:c r="L50" s="15" t="n">
        <x:v>19414.369528</x:v>
      </x:c>
      <x:c r="M50" s="15" t="n">
        <x:v>-10054.044234</x:v>
      </x:c>
      <x:c r="N50" s="15" t="n">
        <x:v>1.4724180837826757</x:v>
      </x:c>
      <x:c r="O50" s="15" t="n">
        <x:v>81090.34</x:v>
      </x:c>
      <x:c r="P50" s="15" t="n">
        <x:v>388005.11368</x:v>
      </x:c>
      <x:c r="Q50" s="15" t="n">
        <x:v>3047</x:v>
      </x:c>
      <x:c r="R50" s="15" t="n">
        <x:v>6.137810066208971</x:v>
      </x:c>
      <x:c r="S50" s="15" t="n">
        <x:v>0.12594458438287548</x:v>
      </x:c>
      <x:c r="T50" s="15" t="n">
        <x:v>0.04186728072010926</x:v>
      </x:c>
      <x:c r="U50" s="15" t="n">
        <x:v>0.16764459346185756</x:v>
      </x:c>
    </x:row>
    <x:row r="51">
      <x:c r="A51" s="13" t="str">
        <x:v>all_360</x:v>
      </x:c>
      <x:c r="B51" s="36" t="n">
        <x:v>45914.083333333336</x:v>
      </x:c>
      <x:c r="C51" s="36" t="n">
        <x:v>45914.166666666664</x:v>
      </x:c>
      <x:c r="D51" s="15" t="n">
        <x:v>27717.762935</x:v>
      </x:c>
      <x:c r="E51" s="15" t="n">
        <x:v>28178.891669</x:v>
      </x:c>
      <x:c r="F51" s="15" t="n">
        <x:v>55896.654603999996</x:v>
      </x:c>
      <x:c r="G51" s="15" t="n">
        <x:v>-461.1287340000017</x:v>
      </x:c>
      <x:c r="H51" s="15" t="n">
        <x:v>142769.37858000002</x:v>
      </x:c>
      <x:c r="I51" s="15" t="n">
        <x:v>170487.14151500002</x:v>
      </x:c>
      <x:c r="J51" s="15" t="n">
        <x:v>4643.323988</x:v>
      </x:c>
      <x:c r="K51" s="15" t="n">
        <x:v>3041.8177920000003</x:v>
      </x:c>
      <x:c r="L51" s="15" t="n">
        <x:v>7685.14178</x:v>
      </x:c>
      <x:c r="M51" s="15" t="n">
        <x:v>1601.5061959999998</x:v>
      </x:c>
      <x:c r="N51" s="15" t="n">
        <x:v>1.4794748906022215</x:v>
      </x:c>
      <x:c r="O51" s="15" t="n">
        <x:v>89562.61</x:v>
      </x:c>
      <x:c r="P51" s="15" t="n">
        <x:v>428954.98413</x:v>
      </x:c>
      <x:c r="Q51" s="15" t="n">
        <x:v>2943</x:v>
      </x:c>
      <x:c r="R51" s="15" t="n">
        <x:v>6.071933912329608</x:v>
      </x:c>
      <x:c r="S51" s="15" t="n">
        <x:v>0.16694490818029983</x:v>
      </x:c>
      <x:c r="T51" s="15" t="n">
        <x:v>0.05959275670601727</x:v>
      </x:c>
      <x:c r="U51" s="15" t="n">
        <x:v>0.14565126924677152</x:v>
      </x:c>
    </x:row>
    <x:row r="52">
      <x:c r="A52" s="13" t="str">
        <x:v>all_360</x:v>
      </x:c>
      <x:c r="B52" s="36" t="n">
        <x:v>45914.166666666664</x:v>
      </x:c>
      <x:c r="C52" s="36" t="n">
        <x:v>45914.25</x:v>
      </x:c>
      <x:c r="D52" s="15" t="n">
        <x:v>50638.071907000005</x:v>
      </x:c>
      <x:c r="E52" s="15" t="n">
        <x:v>49050.993840999996</x:v>
      </x:c>
      <x:c r="F52" s="15" t="n">
        <x:v>99689.065748</x:v>
      </x:c>
      <x:c r="G52" s="15" t="n">
        <x:v>1587.0780660000091</x:v>
      </x:c>
      <x:c r="H52" s="15" t="n">
        <x:v>62122.831697</x:v>
      </x:c>
      <x:c r="I52" s="15" t="n">
        <x:v>112760.903604</x:v>
      </x:c>
      <x:c r="J52" s="15" t="n">
        <x:v>15009.579480999999</x:v>
      </x:c>
      <x:c r="K52" s="15" t="n">
        <x:v>9545.767649</x:v>
      </x:c>
      <x:c r="L52" s="15" t="n">
        <x:v>24555.34713</x:v>
      </x:c>
      <x:c r="M52" s="15" t="n">
        <x:v>5463.811831999999</x:v>
      </x:c>
      <x:c r="N52" s="15" t="n">
        <x:v>1.8725015779507577</x:v>
      </x:c>
      <x:c r="O52" s="15" t="n">
        <x:v>125253.21</x:v>
      </x:c>
      <x:c r="P52" s="15" t="n">
        <x:v>595471.83991</x:v>
      </x:c>
      <x:c r="Q52" s="15" t="n">
        <x:v>3533</x:v>
      </x:c>
      <x:c r="R52" s="15" t="n">
        <x:v>5.150660528993001</x:v>
      </x:c>
      <x:c r="S52" s="15" t="n">
        <x:v>0.18789144050105344</x:v>
      </x:c>
      <x:c r="T52" s="15" t="n">
        <x:v>0.08494372478232703</x:v>
      </x:c>
      <x:c r="U52" s="15" t="n">
        <x:v>0.14855687606111223</x:v>
      </x:c>
    </x:row>
    <x:row r="53">
      <x:c r="A53" s="13" t="str">
        <x:v>all_360</x:v>
      </x:c>
      <x:c r="B53" s="36" t="n">
        <x:v>45914.25</x:v>
      </x:c>
      <x:c r="C53" s="36" t="n">
        <x:v>45914.333333333336</x:v>
      </x:c>
      <x:c r="D53" s="15" t="n">
        <x:v>26804.265634</x:v>
      </x:c>
      <x:c r="E53" s="15" t="n">
        <x:v>25915.679695</x:v>
      </x:c>
      <x:c r="F53" s="15" t="n">
        <x:v>52719.945328999995</x:v>
      </x:c>
      <x:c r="G53" s="15" t="n">
        <x:v>888.5859390000005</x:v>
      </x:c>
      <x:c r="H53" s="15" t="n">
        <x:v>124187.075353</x:v>
      </x:c>
      <x:c r="I53" s="15" t="n">
        <x:v>150991.340987</x:v>
      </x:c>
      <x:c r="J53" s="15" t="n">
        <x:v>9114.253825</x:v>
      </x:c>
      <x:c r="K53" s="15" t="n">
        <x:v>14509.651335999999</x:v>
      </x:c>
      <x:c r="L53" s="15" t="n">
        <x:v>23623.905161</x:v>
      </x:c>
      <x:c r="M53" s="15" t="n">
        <x:v>-5395.397510999999</x:v>
      </x:c>
      <x:c r="N53" s="15" t="n">
        <x:v>0.9803921568627392</x:v>
      </x:c>
      <x:c r="O53" s="15" t="n">
        <x:v>74528.53</x:v>
      </x:c>
      <x:c r="P53" s="15" t="n">
        <x:v>355775.48016</x:v>
      </x:c>
      <x:c r="Q53" s="15" t="n">
        <x:v>2502</x:v>
      </x:c>
      <x:c r="R53" s="15" t="n">
        <x:v>5.885583621676038</x:v>
      </x:c>
      <x:c r="S53" s="15" t="n">
        <x:v>0.20924879681941677</x:v>
      </x:c>
      <x:c r="T53" s="15" t="n">
        <x:v>0.04551094756887197</x:v>
      </x:c>
      <x:c r="U53" s="15" t="n">
        <x:v>0.16757436112274648</x:v>
      </x:c>
    </x:row>
    <x:row r="54">
      <x:c r="A54" s="13" t="str">
        <x:v>all_360</x:v>
      </x:c>
      <x:c r="B54" s="36" t="n">
        <x:v>45914.333333333336</x:v>
      </x:c>
      <x:c r="C54" s="36" t="n">
        <x:v>45914.416666666664</x:v>
      </x:c>
      <x:c r="D54" s="15" t="n">
        <x:v>266806.493176</x:v>
      </x:c>
      <x:c r="E54" s="15" t="n">
        <x:v>263800.541758</x:v>
      </x:c>
      <x:c r="F54" s="15" t="n">
        <x:v>530607.034934</x:v>
      </x:c>
      <x:c r="G54" s="15" t="n">
        <x:v>3005.9514180000406</x:v>
      </x:c>
      <x:c r="H54" s="15" t="n">
        <x:v>49589.454257</x:v>
      </x:c>
      <x:c r="I54" s="15" t="n">
        <x:v>316395.947433</x:v>
      </x:c>
      <x:c r="J54" s="15" t="n">
        <x:v>2320.615134</x:v>
      </x:c>
      <x:c r="K54" s="15" t="n">
        <x:v>3973.798213</x:v>
      </x:c>
      <x:c r="L54" s="15" t="n">
        <x:v>6294.413347</x:v>
      </x:c>
      <x:c r="M54" s="15" t="n">
        <x:v>-1653.183079</x:v>
      </x:c>
      <x:c r="N54" s="15" t="n">
        <x:v>0.902413431269678</x:v>
      </x:c>
      <x:c r="O54" s="15" t="n">
        <x:v>92405.5</x:v>
      </x:c>
      <x:c r="P54" s="15" t="n">
        <x:v>439989.83101</x:v>
      </x:c>
      <x:c r="Q54" s="15" t="n">
        <x:v>2844</x:v>
      </x:c>
      <x:c r="R54" s="15" t="n">
        <x:v>5.736726696438166</x:v>
      </x:c>
      <x:c r="S54" s="15" t="n">
        <x:v>0.1891948707168245</x:v>
      </x:c>
      <x:c r="T54" s="15" t="n">
        <x:v>0.04214075010536833</x:v>
      </x:c>
      <x:c r="U54" s="15" t="n">
        <x:v>0.1472444257467287</x:v>
      </x:c>
    </x:row>
    <x:row r="55">
      <x:c r="A55" s="13" t="str">
        <x:v>all_360</x:v>
      </x:c>
      <x:c r="B55" s="36" t="n">
        <x:v>45914.416666666664</x:v>
      </x:c>
      <x:c r="C55" s="36" t="n">
        <x:v>45914.5</x:v>
      </x:c>
      <x:c r="D55" s="15" t="n">
        <x:v>25977.028709</x:v>
      </x:c>
      <x:c r="E55" s="15" t="n">
        <x:v>28341.115714</x:v>
      </x:c>
      <x:c r="F55" s="15" t="n">
        <x:v>54318.144423</x:v>
      </x:c>
      <x:c r="G55" s="15" t="n">
        <x:v>-2364.087005000001</x:v>
      </x:c>
      <x:c r="H55" s="15" t="n">
        <x:v>73657.231883</x:v>
      </x:c>
      <x:c r="I55" s="15" t="n">
        <x:v>99634.260592</x:v>
      </x:c>
      <x:c r="J55" s="15" t="n">
        <x:v>11065.578594</x:v>
      </x:c>
      <x:c r="K55" s="15" t="n">
        <x:v>26439.831776</x:v>
      </x:c>
      <x:c r="L55" s="15" t="n">
        <x:v>37505.41037</x:v>
      </x:c>
      <x:c r="M55" s="15" t="n">
        <x:v>-15374.253181999999</x:v>
      </x:c>
      <x:c r="N55" s="15" t="n">
        <x:v>2.177098597446098</x:v>
      </x:c>
      <x:c r="O55" s="15" t="n">
        <x:v>128493.25</x:v>
      </x:c>
      <x:c r="P55" s="15" t="n">
        <x:v>606908.2794</x:v>
      </x:c>
      <x:c r="Q55" s="15" t="n">
        <x:v>3639</x:v>
      </x:c>
      <x:c r="R55" s="15" t="n">
        <x:v>6.522498837454749</x:v>
      </x:c>
      <x:c r="S55" s="15" t="n">
        <x:v>0.12771392081737387</x:v>
      </x:c>
      <x:c r="T55" s="15" t="n">
        <x:v>0.0036575787031756235</x:v>
      </x:c>
      <x:c r="U55" s="15" t="n">
        <x:v>0.14641288433381305</x:v>
      </x:c>
    </x:row>
    <x:row r="56">
      <x:c r="A56" s="13" t="str">
        <x:v>all_360</x:v>
      </x:c>
      <x:c r="B56" s="36" t="n">
        <x:v>45914.5</x:v>
      </x:c>
      <x:c r="C56" s="36" t="n">
        <x:v>45914.583333333336</x:v>
      </x:c>
      <x:c r="D56" s="15" t="n">
        <x:v>13259.329925</x:v>
      </x:c>
      <x:c r="E56" s="15" t="n">
        <x:v>13055.793139</x:v>
      </x:c>
      <x:c r="F56" s="15" t="n">
        <x:v>26315.123064</x:v>
      </x:c>
      <x:c r="G56" s="15" t="n">
        <x:v>203.53678600000057</x:v>
      </x:c>
      <x:c r="H56" s="15" t="n">
        <x:v>123006.473304</x:v>
      </x:c>
      <x:c r="I56" s="15" t="n">
        <x:v>136265.803229</x:v>
      </x:c>
      <x:c r="J56" s="15" t="n">
        <x:v>11796.133243</x:v>
      </x:c>
      <x:c r="K56" s="15" t="n">
        <x:v>21471.044264</x:v>
      </x:c>
      <x:c r="L56" s="15" t="n">
        <x:v>33267.177507</x:v>
      </x:c>
      <x:c r="M56" s="15" t="n">
        <x:v>-9674.911021</x:v>
      </x:c>
      <x:c r="N56" s="15" t="n">
        <x:v>1.3011945392491457</x:v>
      </x:c>
      <x:c r="O56" s="15" t="n">
        <x:v>160980.9</x:v>
      </x:c>
      <x:c r="P56" s="15" t="n">
        <x:v>752377.87202</x:v>
      </x:c>
      <x:c r="Q56" s="15" t="n">
        <x:v>5458</x:v>
      </x:c>
      <x:c r="R56" s="15" t="n">
        <x:v>9.732762929744432</x:v>
      </x:c>
      <x:c r="S56" s="15" t="n">
        <x:v>0.15021459227468892</x:v>
      </x:c>
      <x:c r="T56" s="15" t="n">
        <x:v>0.012969953328123562</x:v>
      </x:c>
      <x:c r="U56" s="15" t="n">
        <x:v>0.1716001716001725</x:v>
      </x:c>
    </x:row>
    <x:row r="57">
      <x:c r="A57" s="13" t="str">
        <x:v>all_360</x:v>
      </x:c>
      <x:c r="B57" s="36" t="n">
        <x:v>45914.583333333336</x:v>
      </x:c>
      <x:c r="C57" s="36" t="n">
        <x:v>45914.666666666664</x:v>
      </x:c>
      <x:c r="D57" s="15" t="n">
        <x:v>58460.281038</x:v>
      </x:c>
      <x:c r="E57" s="15" t="n">
        <x:v>58379.173897</x:v>
      </x:c>
      <x:c r="F57" s="15" t="n">
        <x:v>116839.454935</x:v>
      </x:c>
      <x:c r="G57" s="15" t="n">
        <x:v>81.10714100000041</x:v>
      </x:c>
      <x:c r="H57" s="15" t="n">
        <x:v>58668.098221</x:v>
      </x:c>
      <x:c r="I57" s="15" t="n">
        <x:v>117128.37925900001</x:v>
      </x:c>
      <x:c r="J57" s="15" t="n">
        <x:v>6566.910601</x:v>
      </x:c>
      <x:c r="K57" s="15" t="n">
        <x:v>7862.236577</x:v>
      </x:c>
      <x:c r="L57" s="15" t="n">
        <x:v>14429.147178</x:v>
      </x:c>
      <x:c r="M57" s="15" t="n">
        <x:v>-1295.325976</x:v>
      </x:c>
      <x:c r="N57" s="15" t="n">
        <x:v>1.631251341489582</x:v>
      </x:c>
      <x:c r="O57" s="15" t="n">
        <x:v>165741.18</x:v>
      </x:c>
      <x:c r="P57" s="15" t="n">
        <x:v>769459.39069</x:v>
      </x:c>
      <x:c r="Q57" s="15" t="n">
        <x:v>5966</x:v>
      </x:c>
      <x:c r="R57" s="15" t="n">
        <x:v>9.194952194995087</x:v>
      </x:c>
      <x:c r="S57" s="15" t="n">
        <x:v>0.19255455712452463</x:v>
      </x:c>
      <x:c r="T57" s="15" t="n">
        <x:v>0</x:v>
      </x:c>
      <x:c r="U57" s="15" t="n">
        <x:v>0.19379844961241455</x:v>
      </x:c>
    </x:row>
    <x:row r="58">
      <x:c r="A58" s="13" t="str">
        <x:v>all_360</x:v>
      </x:c>
      <x:c r="B58" s="36" t="n">
        <x:v>45914.666666666664</x:v>
      </x:c>
      <x:c r="C58" s="36" t="n">
        <x:v>45914.75</x:v>
      </x:c>
      <x:c r="D58" s="15" t="n">
        <x:v>16643.997466</x:v>
      </x:c>
      <x:c r="E58" s="15" t="n">
        <x:v>17432.678256</x:v>
      </x:c>
      <x:c r="F58" s="15" t="n">
        <x:v>34076.675722</x:v>
      </x:c>
      <x:c r="G58" s="15" t="n">
        <x:v>-788.6807899999985</x:v>
      </x:c>
      <x:c r="H58" s="15" t="n">
        <x:v>86427.643977</x:v>
      </x:c>
      <x:c r="I58" s="15" t="n">
        <x:v>103071.641443</x:v>
      </x:c>
      <x:c r="J58" s="15" t="n">
        <x:v>11272.079361</x:v>
      </x:c>
      <x:c r="K58" s="15" t="n">
        <x:v>6415.806636</x:v>
      </x:c>
      <x:c r="L58" s="15" t="n">
        <x:v>17687.885997</x:v>
      </x:c>
      <x:c r="M58" s="15" t="n">
        <x:v>4856.272725</x:v>
      </x:c>
      <x:c r="N58" s="15" t="n">
        <x:v>1.2502694546238375</x:v>
      </x:c>
      <x:c r="O58" s="15" t="n">
        <x:v>90234.33</x:v>
      </x:c>
      <x:c r="P58" s="15" t="n">
        <x:v>421249.65095</x:v>
      </x:c>
      <x:c r="Q58" s="15" t="n">
        <x:v>3043</x:v>
      </x:c>
      <x:c r="R58" s="15" t="n">
        <x:v>6.515529920474261</x:v>
      </x:c>
      <x:c r="S58" s="15" t="n">
        <x:v>0.19359001935901343</x:v>
      </x:c>
      <x:c r="T58" s="15" t="n">
        <x:v>-0.021358393848780466</x:v>
      </x:c>
      <x:c r="U58" s="15" t="n">
        <x:v>0.12790449797485115</x:v>
      </x:c>
    </x:row>
    <x:row r="59">
      <x:c r="A59" s="13" t="str">
        <x:v>all_360</x:v>
      </x:c>
      <x:c r="B59" s="36" t="n">
        <x:v>45914.75</x:v>
      </x:c>
      <x:c r="C59" s="36" t="n">
        <x:v>45914.833333333336</x:v>
      </x:c>
      <x:c r="D59" s="15" t="n">
        <x:v>24647.244132</x:v>
      </x:c>
      <x:c r="E59" s="15" t="n">
        <x:v>24590.705659</x:v>
      </x:c>
      <x:c r="F59" s="15" t="n">
        <x:v>49237.949791</x:v>
      </x:c>
      <x:c r="G59" s="15" t="n">
        <x:v>56.53847300000052</x:v>
      </x:c>
      <x:c r="H59" s="15" t="n">
        <x:v>63437.745590000006</x:v>
      </x:c>
      <x:c r="I59" s="15" t="n">
        <x:v>88084.989722</x:v>
      </x:c>
      <x:c r="J59" s="15" t="n">
        <x:v>14835.684096</x:v>
      </x:c>
      <x:c r="K59" s="15" t="n">
        <x:v>6498.854064</x:v>
      </x:c>
      <x:c r="L59" s="15" t="n">
        <x:v>21334.53816</x:v>
      </x:c>
      <x:c r="M59" s="15" t="n">
        <x:v>8336.830032000002</x:v>
      </x:c>
      <x:c r="N59" s="15" t="n">
        <x:v>0.8326216908625234</x:v>
      </x:c>
      <x:c r="O59" s="15" t="n">
        <x:v>50859.72</x:v>
      </x:c>
      <x:c r="P59" s="15" t="n">
        <x:v>237115.92222</x:v>
      </x:c>
      <x:c r="Q59" s="15" t="n">
        <x:v>2039</x:v>
      </x:c>
      <x:c r="R59" s="15" t="n">
        <x:v>4.847152138727728</x:v>
      </x:c>
      <x:c r="S59" s="15" t="n">
        <x:v>0.12875536480687622</x:v>
      </x:c>
      <x:c r="T59" s="15" t="n">
        <x:v>0</x:v>
      </x:c>
      <x:c r="U59" s="15" t="n">
        <x:v>0.12889366272825775</x:v>
      </x:c>
    </x:row>
    <x:row r="60">
      <x:c r="A60" s="13" t="str">
        <x:v>all_360</x:v>
      </x:c>
      <x:c r="B60" s="36" t="n">
        <x:v>45914.833333333336</x:v>
      </x:c>
      <x:c r="C60" s="36" t="n">
        <x:v>45914.916666666664</x:v>
      </x:c>
      <x:c r="D60" s="15" t="n">
        <x:v>18946.283178</x:v>
      </x:c>
      <x:c r="E60" s="15" t="n">
        <x:v>19081.533017</x:v>
      </x:c>
      <x:c r="F60" s="15" t="n">
        <x:v>38027.81619500001</x:v>
      </x:c>
      <x:c r="G60" s="15" t="n">
        <x:v>-135.24983900000007</x:v>
      </x:c>
      <x:c r="H60" s="15" t="n">
        <x:v>109655.233336</x:v>
      </x:c>
      <x:c r="I60" s="15" t="n">
        <x:v>128601.516514</x:v>
      </x:c>
      <x:c r="J60" s="15" t="n">
        <x:v>10462.367368</x:v>
      </x:c>
      <x:c r="K60" s="15" t="n">
        <x:v>11399.944314</x:v>
      </x:c>
      <x:c r="L60" s="15" t="n">
        <x:v>21862.311682</x:v>
      </x:c>
      <x:c r="M60" s="15" t="n">
        <x:v>-937.576946000001</x:v>
      </x:c>
      <x:c r="N60" s="15" t="n">
        <x:v>0.9448142581060682</x:v>
      </x:c>
      <x:c r="O60" s="15" t="n">
        <x:v>77288.56</x:v>
      </x:c>
      <x:c r="P60" s="15" t="n">
        <x:v>360440.25917</x:v>
      </x:c>
      <x:c r="Q60" s="15" t="n">
        <x:v>2219</x:v>
      </x:c>
      <x:c r="R60" s="15" t="n">
        <x:v>4.610398629297063</x:v>
      </x:c>
      <x:c r="S60" s="15" t="n">
        <x:v>0.19350677273702876</x:v>
      </x:c>
      <x:c r="T60" s="15" t="n">
        <x:v>0.007280445731039364</x:v>
      </x:c>
      <x:c r="U60" s="15" t="n">
        <x:v>0.14963659683624453</x:v>
      </x:c>
    </x:row>
    <x:row r="61">
      <x:c r="A61" s="13" t="str">
        <x:v>all_360</x:v>
      </x:c>
      <x:c r="B61" s="36" t="n">
        <x:v>45914.916666666664</x:v>
      </x:c>
      <x:c r="C61" s="36" t="n">
        <x:v>45915</x:v>
      </x:c>
      <x:c r="D61" s="15" t="n">
        <x:v>24766.191136</x:v>
      </x:c>
      <x:c r="E61" s="15" t="n">
        <x:v>27456.831466</x:v>
      </x:c>
      <x:c r="F61" s="15" t="n">
        <x:v>52223.022602</x:v>
      </x:c>
      <x:c r="G61" s="15" t="n">
        <x:v>-2690.6403299999984</x:v>
      </x:c>
      <x:c r="H61" s="15" t="n">
        <x:v>59873.608791</x:v>
      </x:c>
      <x:c r="I61" s="15" t="n">
        <x:v>84639.799927</x:v>
      </x:c>
      <x:c r="J61" s="15" t="n">
        <x:v>24778.694681</x:v>
      </x:c>
      <x:c r="K61" s="15" t="n">
        <x:v>37701.610113999996</x:v>
      </x:c>
      <x:c r="L61" s="15" t="n">
        <x:v>62480.304795</x:v>
      </x:c>
      <x:c r="M61" s="15" t="n">
        <x:v>-12922.915432999995</x:v>
      </x:c>
      <x:c r="N61" s="15" t="n">
        <x:v>1.1769741065696493</x:v>
      </x:c>
      <x:c r="O61" s="15" t="n">
        <x:v>65203.14</x:v>
      </x:c>
      <x:c r="P61" s="15" t="n">
        <x:v>304042.47971</x:v>
      </x:c>
      <x:c r="Q61" s="15" t="n">
        <x:v>2341</x:v>
      </x:c>
      <x:c r="R61" s="15" t="n">
        <x:v>5.796277764015212</x:v>
      </x:c>
      <x:c r="S61" s="15" t="n">
        <x:v>0.19288469781397755</x:v>
      </x:c>
      <x:c r="T61" s="15" t="n">
        <x:v>0.011359666289245673</x:v>
      </x:c>
      <x:c r="U61" s="15" t="n">
        <x:v>0.10771219302027069</x:v>
      </x:c>
    </x:row>
    <x:row r="62">
      <x:c r="A62" s="13" t="str">
        <x:v>all_360</x:v>
      </x:c>
      <x:c r="B62" s="36" t="n">
        <x:v>45915</x:v>
      </x:c>
      <x:c r="C62" s="36" t="n">
        <x:v>45915.083333333336</x:v>
      </x:c>
      <x:c r="D62" s="15" t="n">
        <x:v>33442.546896</x:v>
      </x:c>
      <x:c r="E62" s="15" t="n">
        <x:v>32887.034378</x:v>
      </x:c>
      <x:c r="F62" s="15" t="n">
        <x:v>66329.581274</x:v>
      </x:c>
      <x:c r="G62" s="15" t="n">
        <x:v>555.5125180000032</x:v>
      </x:c>
      <x:c r="H62" s="15" t="n">
        <x:v>58127.77424</x:v>
      </x:c>
      <x:c r="I62" s="15" t="n">
        <x:v>91570.321136</x:v>
      </x:c>
      <x:c r="J62" s="15" t="n">
        <x:v>34256.457475999996</x:v>
      </x:c>
      <x:c r="K62" s="15" t="n">
        <x:v>8700.274974</x:v>
      </x:c>
      <x:c r="L62" s="15" t="n">
        <x:v>42956.732449999996</x:v>
      </x:c>
      <x:c r="M62" s="15" t="n">
        <x:v>25556.182501999996</x:v>
      </x:c>
      <x:c r="N62" s="15" t="n">
        <x:v>1.5749730312837198</x:v>
      </x:c>
      <x:c r="O62" s="15" t="n">
        <x:v>158497.13</x:v>
      </x:c>
      <x:c r="P62" s="15" t="n">
        <x:v>734401.61057</x:v>
      </x:c>
      <x:c r="Q62" s="15" t="n">
        <x:v>4146</x:v>
      </x:c>
      <x:c r="R62" s="15" t="n">
        <x:v>7.268961560971587</x:v>
      </x:c>
      <x:c r="S62" s="15" t="n">
        <x:v>0.17256255392580355</x:v>
      </x:c>
      <x:c r="T62" s="15" t="n">
        <x:v>0.08635578583764403</x:v>
      </x:c>
      <x:c r="U62" s="15" t="n">
        <x:v>0.15102481121898048</x:v>
      </x:c>
    </x:row>
    <x:row r="63">
      <x:c r="A63" s="13" t="str">
        <x:v>all_360</x:v>
      </x:c>
      <x:c r="B63" s="36" t="n">
        <x:v>45915.083333333336</x:v>
      </x:c>
      <x:c r="C63" s="36" t="n">
        <x:v>45915.166666666664</x:v>
      </x:c>
      <x:c r="D63" s="15" t="n">
        <x:v>18657.617678</x:v>
      </x:c>
      <x:c r="E63" s="15" t="n">
        <x:v>18973.394864</x:v>
      </x:c>
      <x:c r="F63" s="15" t="n">
        <x:v>37631.012542</x:v>
      </x:c>
      <x:c r="G63" s="15" t="n">
        <x:v>-315.777186000003</x:v>
      </x:c>
      <x:c r="H63" s="15" t="n">
        <x:v>22543.753412000002</x:v>
      </x:c>
      <x:c r="I63" s="15" t="n">
        <x:v>41201.37109</x:v>
      </x:c>
      <x:c r="J63" s="15" t="n">
        <x:v>3153.359694</x:v>
      </x:c>
      <x:c r="K63" s="15" t="n">
        <x:v>1863.204763</x:v>
      </x:c>
      <x:c r="L63" s="15" t="n">
        <x:v>5016.564457</x:v>
      </x:c>
      <x:c r="M63" s="15" t="n">
        <x:v>1290.1549310000003</x:v>
      </x:c>
      <x:c r="N63" s="15" t="n">
        <x:v>0.8405172413793041</x:v>
      </x:c>
      <x:c r="O63" s="15" t="n">
        <x:v>83843.08</x:v>
      </x:c>
      <x:c r="P63" s="15" t="n">
        <x:v>389314.7052</x:v>
      </x:c>
      <x:c r="Q63" s="15" t="n">
        <x:v>2673</x:v>
      </x:c>
      <x:c r="R63" s="15" t="n">
        <x:v>5.985912619482825</x:v>
      </x:c>
      <x:c r="S63" s="15" t="n">
        <x:v>0.17248814144027458</x:v>
      </x:c>
      <x:c r="T63" s="15" t="n">
        <x:v>0.021588946459405456</x:v>
      </x:c>
      <x:c r="U63" s="15" t="n">
        <x:v>0.12878300064391723</x:v>
      </x:c>
    </x:row>
    <x:row r="64">
      <x:c r="A64" s="13" t="str">
        <x:v>all_360</x:v>
      </x:c>
      <x:c r="B64" s="36" t="n">
        <x:v>45915.166666666664</x:v>
      </x:c>
      <x:c r="C64" s="36" t="n">
        <x:v>45915.25</x:v>
      </x:c>
      <x:c r="D64" s="15" t="n">
        <x:v>4809.209479</x:v>
      </x:c>
      <x:c r="E64" s="15" t="n">
        <x:v>1199.541532</x:v>
      </x:c>
      <x:c r="F64" s="15" t="n">
        <x:v>6008.751011</x:v>
      </x:c>
      <x:c r="G64" s="15" t="n">
        <x:v>3609.667947</x:v>
      </x:c>
      <x:c r="H64" s="15" t="n">
        <x:v>66683.734494</x:v>
      </x:c>
      <x:c r="I64" s="15" t="n">
        <x:v>71492.943973</x:v>
      </x:c>
      <x:c r="J64" s="15" t="n">
        <x:v>1474.336585</x:v>
      </x:c>
      <x:c r="K64" s="15" t="n">
        <x:v>3047.941355</x:v>
      </x:c>
      <x:c r="L64" s="15" t="n">
        <x:v>4522.27794</x:v>
      </x:c>
      <x:c r="M64" s="15" t="n">
        <x:v>-1573.60477</x:v>
      </x:c>
      <x:c r="N64" s="15" t="n">
        <x:v>0.8170285960008655</x:v>
      </x:c>
      <x:c r="O64" s="15" t="n">
        <x:v>89731.03</x:v>
      </x:c>
      <x:c r="P64" s="15" t="n">
        <x:v>418173.88482</x:v>
      </x:c>
      <x:c r="Q64" s="15" t="n">
        <x:v>2718</x:v>
      </x:c>
      <x:c r="R64" s="15" t="n">
        <x:v>5.281083734799785</x:v>
      </x:c>
      <x:c r="S64" s="15" t="n">
        <x:v>0.1505700150569944</x:v>
      </x:c>
      <x:c r="T64" s="15" t="n">
        <x:v>0</x:v>
      </x:c>
      <x:c r="U64" s="15" t="n">
        <x:v>0.1503113592441374</x:v>
      </x:c>
    </x:row>
    <x:row r="65">
      <x:c r="A65" s="13" t="str">
        <x:v>all_360</x:v>
      </x:c>
      <x:c r="B65" s="36" t="n">
        <x:v>45915.25</x:v>
      </x:c>
      <x:c r="C65" s="36" t="n">
        <x:v>45915.333333333336</x:v>
      </x:c>
      <x:c r="D65" s="15" t="n">
        <x:v>79620.189758</x:v>
      </x:c>
      <x:c r="E65" s="15" t="n">
        <x:v>77501.436433</x:v>
      </x:c>
      <x:c r="F65" s="15" t="n">
        <x:v>157121.626191</x:v>
      </x:c>
      <x:c r="G65" s="15" t="n">
        <x:v>2118.753324999998</x:v>
      </x:c>
      <x:c r="H65" s="15" t="n">
        <x:v>429301.197334</x:v>
      </x:c>
      <x:c r="I65" s="15" t="n">
        <x:v>508921.387092</x:v>
      </x:c>
      <x:c r="J65" s="15" t="n">
        <x:v>139963.122164</x:v>
      </x:c>
      <x:c r="K65" s="15" t="n">
        <x:v>144900.860624</x:v>
      </x:c>
      <x:c r="L65" s="15" t="n">
        <x:v>284863.982788</x:v>
      </x:c>
      <x:c r="M65" s="15" t="n">
        <x:v>-4937.738459999993</x:v>
      </x:c>
      <x:c r="N65" s="15" t="n">
        <x:v>2.6980728051391933</x:v>
      </x:c>
      <x:c r="O65" s="15" t="n">
        <x:v>317258.35</x:v>
      </x:c>
      <x:c r="P65" s="15" t="n">
        <x:v>1455008.2705</x:v>
      </x:c>
      <x:c r="Q65" s="15" t="n">
        <x:v>8108</x:v>
      </x:c>
      <x:c r="R65" s="15" t="n">
        <x:v>10.562064253776837</x:v>
      </x:c>
      <x:c r="S65" s="15" t="n">
        <x:v>0.15069967707210807</x:v>
      </x:c>
      <x:c r="T65" s="15" t="n">
        <x:v>0</x:v>
      </x:c>
      <x:c r="U65" s="15" t="n">
        <x:v>0.15303891560995986</x:v>
      </x:c>
    </x:row>
    <x:row r="66">
      <x:c r="A66" s="13" t="str">
        <x:v>all_360</x:v>
      </x:c>
      <x:c r="B66" s="36" t="n">
        <x:v>45915.333333333336</x:v>
      </x:c>
      <x:c r="C66" s="36" t="n">
        <x:v>45915.416666666664</x:v>
      </x:c>
      <x:c r="D66" s="15" t="n">
        <x:v>75597.015359</x:v>
      </x:c>
      <x:c r="E66" s="15" t="n">
        <x:v>75123.283898</x:v>
      </x:c>
      <x:c r="F66" s="15" t="n">
        <x:v>150720.29925699998</x:v>
      </x:c>
      <x:c r="G66" s="15" t="n">
        <x:v>473.73146100000304</x:v>
      </x:c>
      <x:c r="H66" s="15" t="n">
        <x:v>215581.369403</x:v>
      </x:c>
      <x:c r="I66" s="15" t="n">
        <x:v>291178.384762</x:v>
      </x:c>
      <x:c r="J66" s="15" t="n">
        <x:v>14242.631143</x:v>
      </x:c>
      <x:c r="K66" s="15" t="n">
        <x:v>14956.723934</x:v>
      </x:c>
      <x:c r="L66" s="15" t="n">
        <x:v>29199.355077</x:v>
      </x:c>
      <x:c r="M66" s="15" t="n">
        <x:v>-714.0927909999991</x:v>
      </x:c>
      <x:c r="N66" s="15" t="n">
        <x:v>1.9078947368420998</x:v>
      </x:c>
      <x:c r="O66" s="15" t="n">
        <x:v>356752.17</x:v>
      </x:c>
      <x:c r="P66" s="15" t="n">
        <x:v>1608913.20647</x:v>
      </x:c>
      <x:c r="Q66" s="15" t="n">
        <x:v>11345</x:v>
      </x:c>
      <x:c r="R66" s="15" t="n">
        <x:v>11.104263577740348</x:v>
      </x:c>
      <x:c r="S66" s="15" t="n">
        <x:v>0.15503875968991832</x:v>
      </x:c>
      <x:c r="T66" s="15" t="n">
        <x:v>0.08754594825364226</x:v>
      </x:c>
      <x:c r="U66" s="15" t="n">
        <x:v>0.15466195315951836</x:v>
      </x:c>
    </x:row>
    <x:row r="67">
      <x:c r="A67" s="13" t="str">
        <x:v>all_360</x:v>
      </x:c>
      <x:c r="B67" s="36" t="n">
        <x:v>45915.416666666664</x:v>
      </x:c>
      <x:c r="C67" s="36" t="n">
        <x:v>45915.5</x:v>
      </x:c>
      <x:c r="D67" s="15" t="n">
        <x:v>34091.985617</x:v>
      </x:c>
      <x:c r="E67" s="15" t="n">
        <x:v>36337.935193</x:v>
      </x:c>
      <x:c r="F67" s="15" t="n">
        <x:v>70429.92081</x:v>
      </x:c>
      <x:c r="G67" s="15" t="n">
        <x:v>-2245.949575999999</x:v>
      </x:c>
      <x:c r="H67" s="15" t="n">
        <x:v>182292.334752</x:v>
      </x:c>
      <x:c r="I67" s="15" t="n">
        <x:v>216384.320369</x:v>
      </x:c>
      <x:c r="J67" s="15" t="n">
        <x:v>25523.990833</x:v>
      </x:c>
      <x:c r="K67" s="15" t="n">
        <x:v>1378.863952</x:v>
      </x:c>
      <x:c r="L67" s="15" t="n">
        <x:v>26902.854785</x:v>
      </x:c>
      <x:c r="M67" s="15" t="n">
        <x:v>24145.126881</x:v>
      </x:c>
      <x:c r="N67" s="15" t="n">
        <x:v>0.9977827050997766</x:v>
      </x:c>
      <x:c r="O67" s="15" t="n">
        <x:v>118787.17</x:v>
      </x:c>
      <x:c r="P67" s="15" t="n">
        <x:v>536225.27719</x:v>
      </x:c>
      <x:c r="Q67" s="15" t="n">
        <x:v>3669</x:v>
      </x:c>
      <x:c r="R67" s="15" t="n">
        <x:v>6.8234979509990135</x:v>
      </x:c>
      <x:c r="S67" s="15" t="n">
        <x:v>0.155141843971629</x:v>
      </x:c>
      <x:c r="T67" s="15" t="n">
        <x:v>-0.04279731623897387</x:v>
      </x:c>
      <x:c r="U67" s="15" t="n">
        <x:v>0.17726567693330253</x:v>
      </x:c>
    </x:row>
    <x:row r="68">
      <x:c r="A68" s="13" t="str">
        <x:v>all_360</x:v>
      </x:c>
      <x:c r="B68" s="36" t="n">
        <x:v>45915.5</x:v>
      </x:c>
      <x:c r="C68" s="36" t="n">
        <x:v>45915.583333333336</x:v>
      </x:c>
      <x:c r="D68" s="15" t="n">
        <x:v>48143.020372</x:v>
      </x:c>
      <x:c r="E68" s="15" t="n">
        <x:v>47663.951769</x:v>
      </x:c>
      <x:c r="F68" s="15" t="n">
        <x:v>95806.972141</x:v>
      </x:c>
      <x:c r="G68" s="15" t="n">
        <x:v>479.0686029999997</x:v>
      </x:c>
      <x:c r="H68" s="15" t="n">
        <x:v>110871.709855</x:v>
      </x:c>
      <x:c r="I68" s="15" t="n">
        <x:v>159014.730227</x:v>
      </x:c>
      <x:c r="J68" s="15" t="n">
        <x:v>15393.44112</x:v>
      </x:c>
      <x:c r="K68" s="15" t="n">
        <x:v>14676.892087</x:v>
      </x:c>
      <x:c r="L68" s="15" t="n">
        <x:v>30070.333207</x:v>
      </x:c>
      <x:c r="M68" s="15" t="n">
        <x:v>716.5490329999993</x:v>
      </x:c>
      <x:c r="N68" s="15" t="n">
        <x:v>1.017699115044234</x:v>
      </x:c>
      <x:c r="O68" s="15" t="n">
        <x:v>143924.5</x:v>
      </x:c>
      <x:c r="P68" s="15" t="n">
        <x:v>649203.19704</x:v>
      </x:c>
      <x:c r="Q68" s="15" t="n">
        <x:v>4354</x:v>
      </x:c>
      <x:c r="R68" s="15" t="n">
        <x:v>7.933259754973143</x:v>
      </x:c>
      <x:c r="S68" s="15" t="n">
        <x:v>0.2654280026542666</x:v>
      </x:c>
      <x:c r="T68" s="15" t="n">
        <x:v>-0.018430950346193242</x:v>
      </x:c>
      <x:c r="U68" s="15" t="n">
        <x:v>0.155073105892789</x:v>
      </x:c>
    </x:row>
    <x:row r="69">
      <x:c r="A69" s="13" t="str">
        <x:v>all_360</x:v>
      </x:c>
      <x:c r="B69" s="36" t="n">
        <x:v>45915.583333333336</x:v>
      </x:c>
      <x:c r="C69" s="36" t="n">
        <x:v>45915.666666666664</x:v>
      </x:c>
      <x:c r="D69" s="15" t="n">
        <x:v>28826.847942</x:v>
      </x:c>
      <x:c r="E69" s="15" t="n">
        <x:v>31170.027104</x:v>
      </x:c>
      <x:c r="F69" s="15" t="n">
        <x:v>59996.875046</x:v>
      </x:c>
      <x:c r="G69" s="15" t="n">
        <x:v>-2343.1791620000004</x:v>
      </x:c>
      <x:c r="H69" s="15" t="n">
        <x:v>145719.222954</x:v>
      </x:c>
      <x:c r="I69" s="15" t="n">
        <x:v>174546.070896</x:v>
      </x:c>
      <x:c r="J69" s="15" t="n">
        <x:v>4630.0743999999995</x:v>
      </x:c>
      <x:c r="K69" s="15" t="n">
        <x:v>13976.103501</x:v>
      </x:c>
      <x:c r="L69" s="15" t="n">
        <x:v>18606.177901</x:v>
      </x:c>
      <x:c r="M69" s="15" t="n">
        <x:v>-9346.029101</x:v>
      </x:c>
      <x:c r="N69" s="15" t="n">
        <x:v>1.4611467788355066</x:v>
      </x:c>
      <x:c r="O69" s="15" t="n">
        <x:v>132316</x:v>
      </x:c>
      <x:c r="P69" s="15" t="n">
        <x:v>595602.20453</x:v>
      </x:c>
      <x:c r="Q69" s="15" t="n">
        <x:v>5189</x:v>
      </x:c>
      <x:c r="R69" s="15" t="n">
        <x:v>9.885720244761131</x:v>
      </x:c>
      <x:c r="S69" s="15" t="n">
        <x:v>0.19964507542148402</x:v>
      </x:c>
      <x:c r="T69" s="15" t="n">
        <x:v>-0.003950100160809988</x:v>
      </x:c>
      <x:c r="U69" s="15" t="n">
        <x:v>0.13342228152102287</x:v>
      </x:c>
    </x:row>
    <x:row r="70">
      <x:c r="A70" s="13" t="str">
        <x:v>all_360</x:v>
      </x:c>
      <x:c r="B70" s="36" t="n">
        <x:v>45915.666666666664</x:v>
      </x:c>
      <x:c r="C70" s="36" t="n">
        <x:v>45915.75</x:v>
      </x:c>
      <x:c r="D70" s="15" t="n">
        <x:v>77003.616604</x:v>
      </x:c>
      <x:c r="E70" s="15" t="n">
        <x:v>66756.670044</x:v>
      </x:c>
      <x:c r="F70" s="15" t="n">
        <x:v>143760.286648</x:v>
      </x:c>
      <x:c r="G70" s="15" t="n">
        <x:v>10246.946559999997</x:v>
      </x:c>
      <x:c r="H70" s="15" t="n">
        <x:v>188664.955555</x:v>
      </x:c>
      <x:c r="I70" s="15" t="n">
        <x:v>265668.572159</x:v>
      </x:c>
      <x:c r="J70" s="15" t="n">
        <x:v>32747.926231</x:v>
      </x:c>
      <x:c r="K70" s="15" t="n">
        <x:v>15651.838521</x:v>
      </x:c>
      <x:c r="L70" s="15" t="n">
        <x:v>48399.764752</x:v>
      </x:c>
      <x:c r="M70" s="15" t="n">
        <x:v>17096.08771</x:v>
      </x:c>
      <x:c r="N70" s="15" t="n">
        <x:v>0.8680169152014177</x:v>
      </x:c>
      <x:c r="O70" s="15" t="n">
        <x:v>105308.26</x:v>
      </x:c>
      <x:c r="P70" s="15" t="n">
        <x:v>471209.42944</x:v>
      </x:c>
      <x:c r="Q70" s="15" t="n">
        <x:v>3726</x:v>
      </x:c>
      <x:c r="R70" s="15" t="n">
        <x:v>7.352886432019079</x:v>
      </x:c>
      <x:c r="S70" s="15" t="n">
        <x:v>0.17881090746535433</x:v>
      </x:c>
      <x:c r="T70" s="15" t="n">
        <x:v>-0.022717620510559478</x:v>
      </x:c>
      <x:c r="U70" s="15" t="n">
        <x:v>0.15621513055120717</x:v>
      </x:c>
    </x:row>
    <x:row r="71">
      <x:c r="A71" s="13" t="str">
        <x:v>all_360</x:v>
      </x:c>
      <x:c r="B71" s="36" t="n">
        <x:v>45915.75</x:v>
      </x:c>
      <x:c r="C71" s="36" t="n">
        <x:v>45915.833333333336</x:v>
      </x:c>
      <x:c r="D71" s="15" t="n">
        <x:v>105872.222732</x:v>
      </x:c>
      <x:c r="E71" s="15" t="n">
        <x:v>105102.13394700001</x:v>
      </x:c>
      <x:c r="F71" s="15" t="n">
        <x:v>210974.35667900002</x:v>
      </x:c>
      <x:c r="G71" s="15" t="n">
        <x:v>770.0887849999854</x:v>
      </x:c>
      <x:c r="H71" s="15" t="n">
        <x:v>145761.576105</x:v>
      </x:c>
      <x:c r="I71" s="15" t="n">
        <x:v>251633.79883699998</x:v>
      </x:c>
      <x:c r="J71" s="15" t="n">
        <x:v>10328.183737</x:v>
      </x:c>
      <x:c r="K71" s="15" t="n">
        <x:v>19569.425752</x:v>
      </x:c>
      <x:c r="L71" s="15" t="n">
        <x:v>29897.609489</x:v>
      </x:c>
      <x:c r="M71" s="15" t="n">
        <x:v>-9241.242015</x:v>
      </x:c>
      <x:c r="N71" s="15" t="n">
        <x:v>1.0922871154703606</x:v>
      </x:c>
      <x:c r="O71" s="15" t="n">
        <x:v>153950.52</x:v>
      </x:c>
      <x:c r="P71" s="15" t="n">
        <x:v>688892.53522</x:v>
      </x:c>
      <x:c r="Q71" s="15" t="n">
        <x:v>3105</x:v>
      </x:c>
      <x:c r="R71" s="15" t="n">
        <x:v>5.849185914843802</x:v>
      </x:c>
      <x:c r="S71" s="15" t="n">
        <x:v>0.4027746699485468</x:v>
      </x:c>
      <x:c r="T71" s="15" t="n">
        <x:v>0.43192723916897213</x:v>
      </x:c>
      <x:c r="U71" s="15" t="n">
        <x:v>0.4027746699485468</x:v>
      </x:c>
    </x:row>
    <x:row r="72">
      <x:c r="A72" s="13" t="str">
        <x:v>all_360</x:v>
      </x:c>
      <x:c r="B72" s="36" t="n">
        <x:v>45915.833333333336</x:v>
      </x:c>
      <x:c r="C72" s="36" t="n">
        <x:v>45915.916666666664</x:v>
      </x:c>
      <x:c r="D72" s="15" t="n">
        <x:v>185471.89697</x:v>
      </x:c>
      <x:c r="E72" s="15" t="n">
        <x:v>187768.535113</x:v>
      </x:c>
      <x:c r="F72" s="15" t="n">
        <x:v>373240.43208299996</x:v>
      </x:c>
      <x:c r="G72" s="15" t="n">
        <x:v>-2296.638142999989</x:v>
      </x:c>
      <x:c r="H72" s="15" t="n">
        <x:v>148436.476695</x:v>
      </x:c>
      <x:c r="I72" s="15" t="n">
        <x:v>333908.37366499996</x:v>
      </x:c>
      <x:c r="J72" s="15" t="n">
        <x:v>11955.297681</x:v>
      </x:c>
      <x:c r="K72" s="15" t="n">
        <x:v>12859.241901</x:v>
      </x:c>
      <x:c r="L72" s="15" t="n">
        <x:v>24814.539581999998</x:v>
      </x:c>
      <x:c r="M72" s="15" t="n">
        <x:v>-903.9442199999994</x:v>
      </x:c>
      <x:c r="N72" s="15" t="n">
        <x:v>0.7343124165553956</x:v>
      </x:c>
      <x:c r="O72" s="15" t="n">
        <x:v>92916.03</x:v>
      </x:c>
      <x:c r="P72" s="15" t="n">
        <x:v>419100.28487</x:v>
      </x:c>
      <x:c r="Q72" s="15" t="n">
        <x:v>2070</x:v>
      </x:c>
      <x:c r="R72" s="15" t="n">
        <x:v>4.236944200314685</x:v>
      </x:c>
      <x:c r="S72" s="15" t="n">
        <x:v>0.11120996441282838</x:v>
      </x:c>
      <x:c r="T72" s="15" t="n">
        <x:v>0</x:v>
      </x:c>
      <x:c r="U72" s="15" t="n">
        <x:v>0.13280212483399723</x:v>
      </x:c>
    </x:row>
    <x:row r="73">
      <x:c r="A73" s="13" t="str">
        <x:v>all_360</x:v>
      </x:c>
      <x:c r="B73" s="36" t="n">
        <x:v>45915.916666666664</x:v>
      </x:c>
      <x:c r="C73" s="36" t="n">
        <x:v>45916</x:v>
      </x:c>
      <x:c r="D73" s="15" t="n">
        <x:v>16226.6544</x:v>
      </x:c>
      <x:c r="E73" s="15" t="n">
        <x:v>13909.20942</x:v>
      </x:c>
      <x:c r="F73" s="15" t="n">
        <x:v>30135.86382</x:v>
      </x:c>
      <x:c r="G73" s="15" t="n">
        <x:v>2317.44498</x:v>
      </x:c>
      <x:c r="H73" s="15" t="n">
        <x:v>80464.764862</x:v>
      </x:c>
      <x:c r="I73" s="15" t="n">
        <x:v>96691.419262</x:v>
      </x:c>
      <x:c r="J73" s="15" t="n">
        <x:v>4116.931976</x:v>
      </x:c>
      <x:c r="K73" s="15" t="n">
        <x:v>1046.778289</x:v>
      </x:c>
      <x:c r="L73" s="15" t="n">
        <x:v>5163.710265</x:v>
      </x:c>
      <x:c r="M73" s="15" t="n">
        <x:v>3070.153687</x:v>
      </x:c>
      <x:c r="N73" s="15" t="n">
        <x:v>0.729765590446713</x:v>
      </x:c>
      <x:c r="O73" s="15" t="n">
        <x:v>36611.590000000004</x:v>
      </x:c>
      <x:c r="P73" s="15" t="n">
        <x:v>165199.41579</x:v>
      </x:c>
      <x:c r="Q73" s="15" t="n">
        <x:v>1325</x:v>
      </x:c>
      <x:c r="R73" s="15" t="n">
        <x:v>4.167117638019557</x:v>
      </x:c>
      <x:c r="S73" s="15" t="n">
        <x:v>0.15479876160992</x:v>
      </x:c>
      <x:c r="T73" s="15" t="n">
        <x:v>-0.022222222222234578</x:v>
      </x:c>
      <x:c r="U73" s="15" t="n">
        <x:v>0.1548330015483268</x:v>
      </x:c>
    </x:row>
    <x:row r="74">
      <x:c r="A74" s="13" t="str">
        <x:v>all_360</x:v>
      </x:c>
      <x:c r="B74" s="36" t="n">
        <x:v>45916</x:v>
      </x:c>
      <x:c r="C74" s="36" t="n">
        <x:v>45916.083333333336</x:v>
      </x:c>
      <x:c r="D74" s="15" t="n">
        <x:v>42436.073129000004</x:v>
      </x:c>
      <x:c r="E74" s="15" t="n">
        <x:v>32703.859512</x:v>
      </x:c>
      <x:c r="F74" s="15" t="n">
        <x:v>75139.932641</x:v>
      </x:c>
      <x:c r="G74" s="15" t="n">
        <x:v>9732.213617000005</x:v>
      </x:c>
      <x:c r="H74" s="15" t="n">
        <x:v>42894.425387999996</x:v>
      </x:c>
      <x:c r="I74" s="15" t="n">
        <x:v>85330.498517</x:v>
      </x:c>
      <x:c r="J74" s="15" t="n">
        <x:v>4035.282564</x:v>
      </x:c>
      <x:c r="K74" s="15" t="n">
        <x:v>13928.674426</x:v>
      </x:c>
      <x:c r="L74" s="15" t="n">
        <x:v>17963.95699</x:v>
      </x:c>
      <x:c r="M74" s="15" t="n">
        <x:v>-9893.391862</x:v>
      </x:c>
      <x:c r="N74" s="15" t="n">
        <x:v>1.4190687361419083</x:v>
      </x:c>
      <x:c r="O74" s="15" t="n">
        <x:v>97979.74</x:v>
      </x:c>
      <x:c r="P74" s="15" t="n">
        <x:v>438571.13399</x:v>
      </x:c>
      <x:c r="Q74" s="15" t="n">
        <x:v>2576</x:v>
      </x:c>
      <x:c r="R74" s="15" t="n">
        <x:v>5.0652725480762495</x:v>
      </x:c>
      <x:c r="S74" s="15" t="n">
        <x:v>0.15593673423924814</x:v>
      </x:c>
      <x:c r="T74" s="15" t="n">
        <x:v>0.008167969861583302</x:v>
      </x:c>
      <x:c r="U74" s="15" t="n">
        <x:v>0.08988764044944864</x:v>
      </x:c>
    </x:row>
    <x:row r="75">
      <x:c r="A75" s="13" t="str">
        <x:v>all_360</x:v>
      </x:c>
      <x:c r="B75" s="36" t="n">
        <x:v>45916.083333333336</x:v>
      </x:c>
      <x:c r="C75" s="36" t="n">
        <x:v>45916.166666666664</x:v>
      </x:c>
      <x:c r="D75" s="15" t="n">
        <x:v>39936.449893</x:v>
      </x:c>
      <x:c r="E75" s="15" t="n">
        <x:v>70003.709518</x:v>
      </x:c>
      <x:c r="F75" s="15" t="n">
        <x:v>109940.159411</x:v>
      </x:c>
      <x:c r="G75" s="15" t="n">
        <x:v>-30067.259625000006</x:v>
      </x:c>
      <x:c r="H75" s="15" t="n">
        <x:v>384719.749366</x:v>
      </x:c>
      <x:c r="I75" s="15" t="n">
        <x:v>424656.199259</x:v>
      </x:c>
      <x:c r="J75" s="15" t="n">
        <x:v>1615.906197</x:v>
      </x:c>
      <x:c r="K75" s="15" t="n">
        <x:v>7764.650181</x:v>
      </x:c>
      <x:c r="L75" s="15" t="n">
        <x:v>9380.556378</x:v>
      </x:c>
      <x:c r="M75" s="15" t="n">
        <x:v>-6148.743984</x:v>
      </x:c>
      <x:c r="N75" s="15" t="n">
        <x:v>0.9887640449438111</x:v>
      </x:c>
      <x:c r="O75" s="15" t="n">
        <x:v>244747.14</x:v>
      </x:c>
      <x:c r="P75" s="15" t="n">
        <x:v>1087587.30808</x:v>
      </x:c>
      <x:c r="Q75" s="15" t="n">
        <x:v>3620</x:v>
      </x:c>
      <x:c r="R75" s="15" t="n">
        <x:v>6.132886939631077</x:v>
      </x:c>
      <x:c r="S75" s="15" t="n">
        <x:v>0.15691548980050207</x:v>
      </x:c>
      <x:c r="T75" s="15" t="n">
        <x:v>0.11284134506882593</x:v>
      </x:c>
      <x:c r="U75" s="15" t="n">
        <x:v>0.1579066095195092</x:v>
      </x:c>
    </x:row>
    <x:row r="76">
      <x:c r="A76" s="13" t="str">
        <x:v>all_360</x:v>
      </x:c>
      <x:c r="B76" s="36" t="n">
        <x:v>45916.166666666664</x:v>
      </x:c>
      <x:c r="C76" s="36" t="n">
        <x:v>45916.25</x:v>
      </x:c>
      <x:c r="D76" s="15" t="n">
        <x:v>22389.475951</x:v>
      </x:c>
      <x:c r="E76" s="15" t="n">
        <x:v>22858.222027</x:v>
      </x:c>
      <x:c r="F76" s="15" t="n">
        <x:v>45247.697978</x:v>
      </x:c>
      <x:c r="G76" s="15" t="n">
        <x:v>-468.74607599999945</x:v>
      </x:c>
      <x:c r="H76" s="15" t="n">
        <x:v>65089.029237</x:v>
      </x:c>
      <x:c r="I76" s="15" t="n">
        <x:v>87478.50518800001</x:v>
      </x:c>
      <x:c r="J76" s="15" t="n">
        <x:v>7011.757908</x:v>
      </x:c>
      <x:c r="K76" s="15" t="n">
        <x:v>9566.099769</x:v>
      </x:c>
      <x:c r="L76" s="15" t="n">
        <x:v>16577.857677</x:v>
      </x:c>
      <x:c r="M76" s="15" t="n">
        <x:v>-2554.341861000001</x:v>
      </x:c>
      <x:c r="N76" s="15" t="n">
        <x:v>1.4170040485829898</x:v>
      </x:c>
      <x:c r="O76" s="15" t="n">
        <x:v>146726.27</x:v>
      </x:c>
      <x:c r="P76" s="15" t="n">
        <x:v>653288.77135</x:v>
      </x:c>
      <x:c r="Q76" s="15" t="n">
        <x:v>3231</x:v>
      </x:c>
      <x:c r="R76" s="15" t="n">
        <x:v>5.478715264140033</x:v>
      </x:c>
      <x:c r="S76" s="15" t="n">
        <x:v>0.20224719101124</x:v>
      </x:c>
      <x:c r="T76" s="15" t="n">
        <x:v>-0.022416498542909835</x:v>
      </x:c>
      <x:c r="U76" s="15" t="n">
        <x:v>0.13504388926399713</x:v>
      </x:c>
    </x:row>
    <x:row r="77">
      <x:c r="A77" s="13" t="str">
        <x:v>all_360</x:v>
      </x:c>
      <x:c r="B77" s="36" t="n">
        <x:v>45916.25</x:v>
      </x:c>
      <x:c r="C77" s="36" t="n">
        <x:v>45916.333333333336</x:v>
      </x:c>
      <x:c r="D77" s="15" t="n">
        <x:v>46495.204414</x:v>
      </x:c>
      <x:c r="E77" s="15" t="n">
        <x:v>45086.451642</x:v>
      </x:c>
      <x:c r="F77" s="15" t="n">
        <x:v>91581.656056</x:v>
      </x:c>
      <x:c r="G77" s="15" t="n">
        <x:v>1408.7527719999998</x:v>
      </x:c>
      <x:c r="H77" s="15" t="n">
        <x:v>132814.343535</x:v>
      </x:c>
      <x:c r="I77" s="15" t="n">
        <x:v>179309.547949</x:v>
      </x:c>
      <x:c r="J77" s="15" t="n">
        <x:v>113889.76365699999</x:v>
      </x:c>
      <x:c r="K77" s="15" t="n">
        <x:v>8102.375831</x:v>
      </x:c>
      <x:c r="L77" s="15" t="n">
        <x:v>121992.13948799999</x:v>
      </x:c>
      <x:c r="M77" s="15" t="n">
        <x:v>105787.38782599999</x:v>
      </x:c>
      <x:c r="N77" s="15" t="n">
        <x:v>0.9598214285714317</x:v>
      </x:c>
      <x:c r="O77" s="15" t="n">
        <x:v>92505.23</x:v>
      </x:c>
      <x:c r="P77" s="15" t="n">
        <x:v>412767.95275</x:v>
      </x:c>
      <x:c r="Q77" s="15" t="n">
        <x:v>2947</x:v>
      </x:c>
      <x:c r="R77" s="15" t="n">
        <x:v>5.556701186852608</x:v>
      </x:c>
      <x:c r="S77" s="15" t="n">
        <x:v>0.13486176668915384</x:v>
      </x:c>
      <x:c r="T77" s="15" t="n">
        <x:v>-0.017557766208575742</x:v>
      </x:c>
      <x:c r="U77" s="15" t="n">
        <x:v>0.06720430107527431</x:v>
      </x:c>
    </x:row>
    <x:row r="78">
      <x:c r="A78" s="13" t="str">
        <x:v>all_360</x:v>
      </x:c>
      <x:c r="B78" s="36" t="n">
        <x:v>45916.333333333336</x:v>
      </x:c>
      <x:c r="C78" s="36" t="n">
        <x:v>45916.416666666664</x:v>
      </x:c>
      <x:c r="D78" s="15" t="n">
        <x:v>79658.443646</x:v>
      </x:c>
      <x:c r="E78" s="15" t="n">
        <x:v>83017.420166</x:v>
      </x:c>
      <x:c r="F78" s="15" t="n">
        <x:v>162675.863812</x:v>
      </x:c>
      <x:c r="G78" s="15" t="n">
        <x:v>-3358.9765199999965</x:v>
      </x:c>
      <x:c r="H78" s="15" t="n">
        <x:v>373441.88575</x:v>
      </x:c>
      <x:c r="I78" s="15" t="n">
        <x:v>453100.329396</x:v>
      </x:c>
      <x:c r="J78" s="15" t="n">
        <x:v>6301.392754</x:v>
      </x:c>
      <x:c r="K78" s="15" t="n">
        <x:v>6450.6745120000005</x:v>
      </x:c>
      <x:c r="L78" s="15" t="n">
        <x:v>12752.067266000002</x:v>
      </x:c>
      <x:c r="M78" s="15" t="n">
        <x:v>-149.28175800000008</x:v>
      </x:c>
      <x:c r="N78" s="15" t="n">
        <x:v>0.9830205540661413</x:v>
      </x:c>
      <x:c r="O78" s="15" t="n">
        <x:v>174688.59</x:v>
      </x:c>
      <x:c r="P78" s="15" t="n">
        <x:v>783981.48359</x:v>
      </x:c>
      <x:c r="Q78" s="15" t="n">
        <x:v>4360</x:v>
      </x:c>
      <x:c r="R78" s="15" t="n">
        <x:v>6.8178707077475975</x:v>
      </x:c>
      <x:c r="S78" s="15" t="n">
        <x:v>0.15593673423924814</x:v>
      </x:c>
      <x:c r="T78" s="15" t="n">
        <x:v>-0.005467144158277648</x:v>
      </x:c>
      <x:c r="U78" s="15" t="n">
        <x:v>0.06696428571428825</x:v>
      </x:c>
    </x:row>
    <x:row r="79">
      <x:c r="A79" s="13" t="str">
        <x:v>all_360</x:v>
      </x:c>
      <x:c r="B79" s="36" t="n">
        <x:v>45916.416666666664</x:v>
      </x:c>
      <x:c r="C79" s="36" t="n">
        <x:v>45916.5</x:v>
      </x:c>
      <x:c r="D79" s="15" t="n">
        <x:v>39243.156397</x:v>
      </x:c>
      <x:c r="E79" s="15" t="n">
        <x:v>41525.392581</x:v>
      </x:c>
      <x:c r="F79" s="15" t="n">
        <x:v>80768.548978</x:v>
      </x:c>
      <x:c r="G79" s="15" t="n">
        <x:v>-2282.2361840000012</x:v>
      </x:c>
      <x:c r="H79" s="15" t="n">
        <x:v>220759.925899</x:v>
      </x:c>
      <x:c r="I79" s="15" t="n">
        <x:v>260003.08229599998</x:v>
      </x:c>
      <x:c r="J79" s="15" t="n">
        <x:v>2012.005276</x:v>
      </x:c>
      <x:c r="K79" s="15" t="n">
        <x:v>5889.899391</x:v>
      </x:c>
      <x:c r="L79" s="15" t="n">
        <x:v>7901.904667</x:v>
      </x:c>
      <x:c r="M79" s="15" t="n">
        <x:v>-3877.894115</x:v>
      </x:c>
      <x:c r="N79" s="15" t="n">
        <x:v>0.7361142092348757</x:v>
      </x:c>
      <x:c r="O79" s="15" t="n">
        <x:v>142727.66</x:v>
      </x:c>
      <x:c r="P79" s="15" t="n">
        <x:v>637649.45976</x:v>
      </x:c>
      <x:c r="Q79" s="15" t="n">
        <x:v>4055</x:v>
      </x:c>
      <x:c r="R79" s="15" t="n">
        <x:v>5.866479038849293</x:v>
      </x:c>
      <x:c r="S79" s="15" t="n">
        <x:v>0.20125223613596255</x:v>
      </x:c>
      <x:c r="T79" s="15" t="n">
        <x:v>-0.013000345181568562</x:v>
      </x:c>
      <x:c r="U79" s="15" t="n">
        <x:v>0.1119319453772083</x:v>
      </x:c>
    </x:row>
    <x:row r="80">
      <x:c r="A80" s="13" t="str">
        <x:v>all_360</x:v>
      </x:c>
      <x:c r="B80" s="36" t="n">
        <x:v>45916.5</x:v>
      </x:c>
      <x:c r="C80" s="36" t="n">
        <x:v>45916.583333333336</x:v>
      </x:c>
      <x:c r="D80" s="15" t="n">
        <x:v>35158.819806</x:v>
      </x:c>
      <x:c r="E80" s="15" t="n">
        <x:v>35704.636779</x:v>
      </x:c>
      <x:c r="F80" s="15" t="n">
        <x:v>70863.456585</x:v>
      </x:c>
      <x:c r="G80" s="15" t="n">
        <x:v>-545.8169730000009</x:v>
      </x:c>
      <x:c r="H80" s="15" t="n">
        <x:v>346139.662679</x:v>
      </x:c>
      <x:c r="I80" s="15" t="n">
        <x:v>381298.482485</x:v>
      </x:c>
      <x:c r="J80" s="15" t="n">
        <x:v>11242.350362</x:v>
      </x:c>
      <x:c r="K80" s="15" t="n">
        <x:v>19668.389001</x:v>
      </x:c>
      <x:c r="L80" s="15" t="n">
        <x:v>30910.739363</x:v>
      </x:c>
      <x:c r="M80" s="15" t="n">
        <x:v>-8426.038639</x:v>
      </x:c>
      <x:c r="N80" s="15" t="n">
        <x:v>1.4119229045271118</x:v>
      </x:c>
      <x:c r="O80" s="15" t="n">
        <x:v>193887.45</x:v>
      </x:c>
      <x:c r="P80" s="15" t="n">
        <x:v>866372.13083</x:v>
      </x:c>
      <x:c r="Q80" s="15" t="n">
        <x:v>5519</x:v>
      </x:c>
      <x:c r="R80" s="15" t="n">
        <x:v>7.743755077634318</x:v>
      </x:c>
      <x:c r="S80" s="15" t="n">
        <x:v>0.15709156193897122</x:v>
      </x:c>
      <x:c r="T80" s="15" t="n">
        <x:v>0.02132550272493372</x:v>
      </x:c>
      <x:c r="U80" s="15" t="n">
        <x:v>0.15656452695145262</x:v>
      </x:c>
    </x:row>
    <x:row r="81">
      <x:c r="A81" s="13" t="str">
        <x:v>all_360</x:v>
      </x:c>
      <x:c r="B81" s="36" t="n">
        <x:v>45916.583333333336</x:v>
      </x:c>
      <x:c r="C81" s="36" t="n">
        <x:v>45916.666666666664</x:v>
      </x:c>
      <x:c r="D81" s="15" t="n">
        <x:v>33530.102868</x:v>
      </x:c>
      <x:c r="E81" s="15" t="n">
        <x:v>32169.629365</x:v>
      </x:c>
      <x:c r="F81" s="15" t="n">
        <x:v>65699.732233</x:v>
      </x:c>
      <x:c r="G81" s="15" t="n">
        <x:v>1360.473503000001</x:v>
      </x:c>
      <x:c r="H81" s="15" t="n">
        <x:v>122337.65693900001</x:v>
      </x:c>
      <x:c r="I81" s="15" t="n">
        <x:v>155867.759807</x:v>
      </x:c>
      <x:c r="J81" s="15" t="n">
        <x:v>18635.022009</x:v>
      </x:c>
      <x:c r="K81" s="15" t="n">
        <x:v>3818.209561</x:v>
      </x:c>
      <x:c r="L81" s="15" t="n">
        <x:v>22453.23157</x:v>
      </x:c>
      <x:c r="M81" s="15" t="n">
        <x:v>14816.812448</x:v>
      </x:c>
      <x:c r="N81" s="15" t="n">
        <x:v>1.877934272300481</x:v>
      </x:c>
      <x:c r="O81" s="15" t="n">
        <x:v>125712.94</x:v>
      </x:c>
      <x:c r="P81" s="15" t="n">
        <x:v>563496.0116</x:v>
      </x:c>
      <x:c r="Q81" s="15" t="n">
        <x:v>3741</x:v>
      </x:c>
      <x:c r="R81" s="15" t="n">
        <x:v>7.966162317970582</x:v>
      </x:c>
      <x:c r="S81" s="15" t="n">
        <x:v>0.19915910599690445</x:v>
      </x:c>
      <x:c r="T81" s="15" t="n">
        <x:v>-0.01032363193687047</x:v>
      </x:c>
      <x:c r="U81" s="15" t="n">
        <x:v>0.1345895020188448</x:v>
      </x:c>
    </x:row>
    <x:row r="82">
      <x:c r="A82" s="13" t="str">
        <x:v>all_360</x:v>
      </x:c>
      <x:c r="B82" s="36" t="n">
        <x:v>45916.666666666664</x:v>
      </x:c>
      <x:c r="C82" s="36" t="n">
        <x:v>45916.75</x:v>
      </x:c>
      <x:c r="D82" s="15" t="n">
        <x:v>53967.056544</x:v>
      </x:c>
      <x:c r="E82" s="15" t="n">
        <x:v>51794.115263</x:v>
      </x:c>
      <x:c r="F82" s="15" t="n">
        <x:v>105761.171807</x:v>
      </x:c>
      <x:c r="G82" s="15" t="n">
        <x:v>2172.9412809999994</x:v>
      </x:c>
      <x:c r="H82" s="15" t="n">
        <x:v>187318.929869</x:v>
      </x:c>
      <x:c r="I82" s="15" t="n">
        <x:v>241285.986413</x:v>
      </x:c>
      <x:c r="J82" s="15" t="n">
        <x:v>13500.752284</x:v>
      </x:c>
      <x:c r="K82" s="15" t="n">
        <x:v>4160.825558</x:v>
      </x:c>
      <x:c r="L82" s="15" t="n">
        <x:v>17661.577842</x:v>
      </x:c>
      <x:c r="M82" s="15" t="n">
        <x:v>9339.926726000002</x:v>
      </x:c>
      <x:c r="N82" s="15" t="n">
        <x:v>1.679186920017687</x:v>
      </x:c>
      <x:c r="O82" s="15" t="n">
        <x:v>174346.83</x:v>
      </x:c>
      <x:c r="P82" s="15" t="n">
        <x:v>791473.84941</x:v>
      </x:c>
      <x:c r="Q82" s="15" t="n">
        <x:v>4718</x:v>
      </x:c>
      <x:c r="R82" s="15" t="n">
        <x:v>7.0762596440913095</x:v>
      </x:c>
      <x:c r="S82" s="15" t="n">
        <x:v>0.13262599469496816</x:v>
      </x:c>
      <x:c r="T82" s="15" t="n">
        <x:v>-0.012859140755527854</x:v>
      </x:c>
      <x:c r="U82" s="15" t="n">
        <x:v>0.13280212483399723</x:v>
      </x:c>
    </x:row>
    <x:row r="83">
      <x:c r="A83" s="13" t="str">
        <x:v>all_360</x:v>
      </x:c>
      <x:c r="B83" s="36" t="n">
        <x:v>45916.75</x:v>
      </x:c>
      <x:c r="C83" s="36" t="n">
        <x:v>45916.833333333336</x:v>
      </x:c>
      <x:c r="D83" s="15" t="n">
        <x:v>11816.252258</x:v>
      </x:c>
      <x:c r="E83" s="15" t="n">
        <x:v>12264.486174</x:v>
      </x:c>
      <x:c r="F83" s="15" t="n">
        <x:v>24080.738432</x:v>
      </x:c>
      <x:c r="G83" s="15" t="n">
        <x:v>-448.2339159999992</x:v>
      </x:c>
      <x:c r="H83" s="15" t="n">
        <x:v>46907.523836</x:v>
      </x:c>
      <x:c r="I83" s="15" t="n">
        <x:v>58723.776094</x:v>
      </x:c>
      <x:c r="J83" s="15" t="n">
        <x:v>4844.892381</x:v>
      </x:c>
      <x:c r="K83" s="15" t="n">
        <x:v>5034.436283</x:v>
      </x:c>
      <x:c r="L83" s="15" t="n">
        <x:v>9879.328664</x:v>
      </x:c>
      <x:c r="M83" s="15" t="n">
        <x:v>-189.54390200000034</x:v>
      </x:c>
      <x:c r="N83" s="15" t="n">
        <x:v>0.8573312816003646</x:v>
      </x:c>
      <x:c r="O83" s="15" t="n">
        <x:v>105382.09</x:v>
      </x:c>
      <x:c r="P83" s="15" t="n">
        <x:v>478539.71574</x:v>
      </x:c>
      <x:c r="Q83" s="15" t="n">
        <x:v>2769</x:v>
      </x:c>
      <x:c r="R83" s="15" t="n">
        <x:v>5.480798718995228</x:v>
      </x:c>
      <x:c r="S83" s="15" t="n">
        <x:v>0.17621145374449032</x:v>
      </x:c>
      <x:c r="T83" s="15" t="n">
        <x:v>0.13297654540631587</x:v>
      </x:c>
      <x:c r="U83" s="15" t="n">
        <x:v>0.22021581149528346</x:v>
      </x:c>
    </x:row>
    <x:row r="84">
      <x:c r="A84" s="13" t="str">
        <x:v>all_360</x:v>
      </x:c>
      <x:c r="B84" s="36" t="n">
        <x:v>45916.833333333336</x:v>
      </x:c>
      <x:c r="C84" s="36" t="n">
        <x:v>45916.916666666664</x:v>
      </x:c>
      <x:c r="D84" s="15" t="n">
        <x:v>26509.113578</x:v>
      </x:c>
      <x:c r="E84" s="15" t="n">
        <x:v>26087.332346</x:v>
      </x:c>
      <x:c r="F84" s="15" t="n">
        <x:v>52596.445924</x:v>
      </x:c>
      <x:c r="G84" s="15" t="n">
        <x:v>421.7812320000012</x:v>
      </x:c>
      <x:c r="H84" s="15" t="n">
        <x:v>52975.313847</x:v>
      </x:c>
      <x:c r="I84" s="15" t="n">
        <x:v>79484.427425</x:v>
      </x:c>
      <x:c r="J84" s="15" t="n">
        <x:v>26779.772423</x:v>
      </x:c>
      <x:c r="K84" s="15" t="n">
        <x:v>29958.09111</x:v>
      </x:c>
      <x:c r="L84" s="15" t="n">
        <x:v>56737.863532999996</x:v>
      </x:c>
      <x:c r="M84" s="15" t="n">
        <x:v>-3178.3186870000027</x:v>
      </x:c>
      <x:c r="N84" s="15" t="n">
        <x:v>0.7036059806508361</x:v>
      </x:c>
      <x:c r="O84" s="15" t="n">
        <x:v>77915.20999999999</x:v>
      </x:c>
      <x:c r="P84" s="15" t="n">
        <x:v>353982.14383</x:v>
      </x:c>
      <x:c r="Q84" s="15" t="n">
        <x:v>1959</x:v>
      </x:c>
      <x:c r="R84" s="15" t="n">
        <x:v>4.642420869330999</x:v>
      </x:c>
      <x:c r="S84" s="15" t="n">
        <x:v>0.10981770261365709</x:v>
      </x:c>
      <x:c r="T84" s="15" t="n">
        <x:v>0.008445940013568354</x:v>
      </x:c>
      <x:c r="U84" s="15" t="n">
        <x:v>0.11032656663724216</x:v>
      </x:c>
    </x:row>
    <x:row r="85">
      <x:c r="A85" s="13" t="str">
        <x:v>all_360</x:v>
      </x:c>
      <x:c r="B85" s="36" t="n">
        <x:v>45916.916666666664</x:v>
      </x:c>
      <x:c r="C85" s="36" t="n">
        <x:v>45917</x:v>
      </x:c>
      <x:c r="D85" s="15" t="n">
        <x:v>341003.224878</x:v>
      </x:c>
      <x:c r="E85" s="15" t="n">
        <x:v>339364.972748</x:v>
      </x:c>
      <x:c r="F85" s="15" t="n">
        <x:v>680368.197626</x:v>
      </x:c>
      <x:c r="G85" s="15" t="n">
        <x:v>1638.252129999979</x:v>
      </x:c>
      <x:c r="H85" s="15" t="n">
        <x:v>188661.928053</x:v>
      </x:c>
      <x:c r="I85" s="15" t="n">
        <x:v>529665.152931</x:v>
      </x:c>
      <x:c r="J85" s="15" t="n">
        <x:v>31625.882152</x:v>
      </x:c>
      <x:c r="K85" s="15" t="n">
        <x:v>62215.661636000004</x:v>
      </x:c>
      <x:c r="L85" s="15" t="n">
        <x:v>93841.54378800001</x:v>
      </x:c>
      <x:c r="M85" s="15" t="n">
        <x:v>-30589.779484000006</x:v>
      </x:c>
      <x:c r="N85" s="15" t="n">
        <x:v>0.6384852487890779</x:v>
      </x:c>
      <x:c r="O85" s="15" t="n">
        <x:v>122836.1</x:v>
      </x:c>
      <x:c r="P85" s="15" t="n">
        <x:v>559609.32401</x:v>
      </x:c>
      <x:c r="Q85" s="15" t="n">
        <x:v>3653</x:v>
      </x:c>
      <x:c r="R85" s="15" t="n">
        <x:v>5.512060439528832</x:v>
      </x:c>
      <x:c r="S85" s="15" t="n">
        <x:v>0.17559262510974394</x:v>
      </x:c>
      <x:c r="T85" s="15" t="n">
        <x:v>-0.021968365553615143</x:v>
      </x:c>
      <x:c r="U85" s="15" t="n">
        <x:v>0.1319551352540027</x:v>
      </x:c>
    </x:row>
    <x:row r="86">
      <x:c r="A86" s="13" t="str">
        <x:v>all_360</x:v>
      </x:c>
      <x:c r="B86" s="36" t="n">
        <x:v>45917</x:v>
      </x:c>
      <x:c r="C86" s="36" t="n">
        <x:v>45917.083333333336</x:v>
      </x:c>
      <x:c r="D86" s="15" t="n">
        <x:v>188674.646864</x:v>
      </x:c>
      <x:c r="E86" s="15" t="n">
        <x:v>148070.244791</x:v>
      </x:c>
      <x:c r="F86" s="15" t="n">
        <x:v>336744.89165500004</x:v>
      </x:c>
      <x:c r="G86" s="15" t="n">
        <x:v>40604.402073000005</x:v>
      </x:c>
      <x:c r="H86" s="15" t="n">
        <x:v>88105.932855</x:v>
      </x:c>
      <x:c r="I86" s="15" t="n">
        <x:v>276780.57971900003</x:v>
      </x:c>
      <x:c r="J86" s="15" t="n">
        <x:v>12097.016028</x:v>
      </x:c>
      <x:c r="K86" s="15" t="n">
        <x:v>16082.905538</x:v>
      </x:c>
      <x:c r="L86" s="15" t="n">
        <x:v>28179.921566</x:v>
      </x:c>
      <x:c r="M86" s="15" t="n">
        <x:v>-3985.889510000001</x:v>
      </x:c>
      <x:c r="N86" s="15" t="n">
        <x:v>1.05564108203211</x:v>
      </x:c>
      <x:c r="O86" s="15" t="n">
        <x:v>80013.48</x:v>
      </x:c>
      <x:c r="P86" s="15" t="n">
        <x:v>363191.54724</x:v>
      </x:c>
      <x:c r="Q86" s="15" t="n">
        <x:v>2515</x:v>
      </x:c>
      <x:c r="R86" s="15" t="n">
        <x:v>5.532081954276635</x:v>
      </x:c>
      <x:c r="S86" s="15" t="n">
        <x:v>0.1546277888226366</x:v>
      </x:c>
      <x:c r="T86" s="15" t="n">
        <x:v>-0.006015145557913826</x:v>
      </x:c>
      <x:c r="U86" s="15" t="n">
        <x:v>0.1105216622457994</x:v>
      </x:c>
    </x:row>
    <x:row r="87">
      <x:c r="A87" s="13" t="str">
        <x:v>all_360</x:v>
      </x:c>
      <x:c r="B87" s="36" t="n">
        <x:v>45917.083333333336</x:v>
      </x:c>
      <x:c r="C87" s="36" t="n">
        <x:v>45917.166666666664</x:v>
      </x:c>
      <x:c r="D87" s="15" t="n">
        <x:v>27500.507083</x:v>
      </x:c>
      <x:c r="E87" s="15" t="n">
        <x:v>25094.688496</x:v>
      </x:c>
      <x:c r="F87" s="15" t="n">
        <x:v>52595.195579</x:v>
      </x:c>
      <x:c r="G87" s="15" t="n">
        <x:v>2405.8185870000016</x:v>
      </x:c>
      <x:c r="H87" s="15" t="n">
        <x:v>31022.811965</x:v>
      </x:c>
      <x:c r="I87" s="15" t="n">
        <x:v>58523.319048000005</x:v>
      </x:c>
      <x:c r="J87" s="15" t="n">
        <x:v>5977.078868</x:v>
      </x:c>
      <x:c r="K87" s="15" t="n">
        <x:v>11899.361887</x:v>
      </x:c>
      <x:c r="L87" s="15" t="n">
        <x:v>17876.440755</x:v>
      </x:c>
      <x:c r="M87" s="15" t="n">
        <x:v>-5922.2830189999995</x:v>
      </x:c>
      <x:c r="N87" s="15" t="n">
        <x:v>0.883782589482988</x:v>
      </x:c>
      <x:c r="O87" s="15" t="n">
        <x:v>100673.81</x:v>
      </x:c>
      <x:c r="P87" s="15" t="n">
        <x:v>456824.02365</x:v>
      </x:c>
      <x:c r="Q87" s="15" t="n">
        <x:v>2665</x:v>
      </x:c>
      <x:c r="R87" s="15" t="n">
        <x:v>5.332319805161068</x:v>
      </x:c>
      <x:c r="S87" s="15" t="n">
        <x:v>0.1546277888226366</x:v>
      </x:c>
      <x:c r="T87" s="15" t="n">
        <x:v>-0.014918635355609666</x:v>
      </x:c>
      <x:c r="U87" s="15" t="n">
        <x:v>0.15391380826735857</x:v>
      </x:c>
    </x:row>
    <x:row r="88">
      <x:c r="A88" s="13" t="str">
        <x:v>all_360</x:v>
      </x:c>
      <x:c r="B88" s="36" t="n">
        <x:v>45917.166666666664</x:v>
      </x:c>
      <x:c r="C88" s="36" t="n">
        <x:v>45917.25</x:v>
      </x:c>
      <x:c r="D88" s="15" t="n">
        <x:v>9707.49583</x:v>
      </x:c>
      <x:c r="E88" s="15" t="n">
        <x:v>9689.277618</x:v>
      </x:c>
      <x:c r="F88" s="15" t="n">
        <x:v>19396.773448</x:v>
      </x:c>
      <x:c r="G88" s="15" t="n">
        <x:v>18.218211999999767</x:v>
      </x:c>
      <x:c r="H88" s="15" t="n">
        <x:v>43701.184452</x:v>
      </x:c>
      <x:c r="I88" s="15" t="n">
        <x:v>53408.680282</x:v>
      </x:c>
      <x:c r="J88" s="15" t="n">
        <x:v>1949.604597</x:v>
      </x:c>
      <x:c r="K88" s="15" t="n">
        <x:v>7620.718771</x:v>
      </x:c>
      <x:c r="L88" s="15" t="n">
        <x:v>9570.323368</x:v>
      </x:c>
      <x:c r="M88" s="15" t="n">
        <x:v>-5671.114174</x:v>
      </x:c>
      <x:c r="N88" s="15" t="n">
        <x:v>0.9513274336283221</x:v>
      </x:c>
      <x:c r="O88" s="15" t="n">
        <x:v>68666.34</x:v>
      </x:c>
      <x:c r="P88" s="15" t="n">
        <x:v>309575.7137</x:v>
      </x:c>
      <x:c r="Q88" s="15" t="n">
        <x:v>2479</x:v>
      </x:c>
      <x:c r="R88" s="15" t="n">
        <x:v>6.14825093138065</x:v>
      </x:c>
      <x:c r="S88" s="15" t="n">
        <x:v>0.15569395017794863</x:v>
      </x:c>
      <x:c r="T88" s="15" t="n">
        <x:v>-0.0250044835042873</x:v>
      </x:c>
      <x:c r="U88" s="15" t="n">
        <x:v>0.15555555555555323</x:v>
      </x:c>
    </x:row>
    <x:row r="89">
      <x:c r="A89" s="13" t="str">
        <x:v>all_360</x:v>
      </x:c>
      <x:c r="B89" s="36" t="n">
        <x:v>45917.25</x:v>
      </x:c>
      <x:c r="C89" s="36" t="n">
        <x:v>45917.333333333336</x:v>
      </x:c>
      <x:c r="D89" s="15" t="n">
        <x:v>47927.647922</x:v>
      </x:c>
      <x:c r="E89" s="15" t="n">
        <x:v>53063.675665999996</x:v>
      </x:c>
      <x:c r="F89" s="15" t="n">
        <x:v>100991.323588</x:v>
      </x:c>
      <x:c r="G89" s="15" t="n">
        <x:v>-5136.027743999999</x:v>
      </x:c>
      <x:c r="H89" s="15" t="n">
        <x:v>36506.494006</x:v>
      </x:c>
      <x:c r="I89" s="15" t="n">
        <x:v>84434.141928</x:v>
      </x:c>
      <x:c r="J89" s="15" t="n">
        <x:v>8220.577332</x:v>
      </x:c>
      <x:c r="K89" s="15" t="n">
        <x:v>4700.153172</x:v>
      </x:c>
      <x:c r="L89" s="15" t="n">
        <x:v>12920.730504000001</x:v>
      </x:c>
      <x:c r="M89" s="15" t="n">
        <x:v>3520.4241600000005</x:v>
      </x:c>
      <x:c r="N89" s="15" t="n">
        <x:v>0.6189213085764913</x:v>
      </x:c>
      <x:c r="O89" s="15" t="n">
        <x:v>78875.27</x:v>
      </x:c>
      <x:c r="P89" s="15" t="n">
        <x:v>357785.17602</x:v>
      </x:c>
      <x:c r="Q89" s="15" t="n">
        <x:v>2398</x:v>
      </x:c>
      <x:c r="R89" s="15" t="n">
        <x:v>5.004777788810566</x:v>
      </x:c>
      <x:c r="S89" s="15" t="n">
        <x:v>0.1764446404940445</x:v>
      </x:c>
      <x:c r="T89" s="15" t="n">
        <x:v>-0.044014084507049134</x:v>
      </x:c>
      <x:c r="U89" s="15" t="n">
        <x:v>0.11039964672112657</x:v>
      </x:c>
    </x:row>
    <x:row r="90">
      <x:c r="A90" s="13" t="str">
        <x:v>all_360</x:v>
      </x:c>
      <x:c r="B90" s="36" t="n">
        <x:v>45917.333333333336</x:v>
      </x:c>
      <x:c r="C90" s="36" t="n">
        <x:v>45917.416666666664</x:v>
      </x:c>
      <x:c r="D90" s="15" t="n">
        <x:v>14265.980961</x:v>
      </x:c>
      <x:c r="E90" s="15" t="n">
        <x:v>12917.369429</x:v>
      </x:c>
      <x:c r="F90" s="15" t="n">
        <x:v>27183.35039</x:v>
      </x:c>
      <x:c r="G90" s="15" t="n">
        <x:v>1348.611531999999</x:v>
      </x:c>
      <x:c r="H90" s="15" t="n">
        <x:v>97534.556607</x:v>
      </x:c>
      <x:c r="I90" s="15" t="n">
        <x:v>111800.537568</x:v>
      </x:c>
      <x:c r="J90" s="15" t="n">
        <x:v>3701.794813</x:v>
      </x:c>
      <x:c r="K90" s="15" t="n">
        <x:v>7170.720784</x:v>
      </x:c>
      <x:c r="L90" s="15" t="n">
        <x:v>10872.515597</x:v>
      </x:c>
      <x:c r="M90" s="15" t="n">
        <x:v>-3468.925971</x:v>
      </x:c>
      <x:c r="N90" s="15" t="n">
        <x:v>1.1463844797178042</x:v>
      </x:c>
      <x:c r="O90" s="15" t="n">
        <x:v>172364.04</x:v>
      </x:c>
      <x:c r="P90" s="15" t="n">
        <x:v>775939.17452</x:v>
      </x:c>
      <x:c r="Q90" s="15" t="n">
        <x:v>2892</x:v>
      </x:c>
      <x:c r="R90" s="15" t="n">
        <x:v>4.837881678940015</x:v>
      </x:c>
      <x:c r="S90" s="15" t="n">
        <x:v>0.15552099533437946</x:v>
      </x:c>
      <x:c r="T90" s="15" t="n">
        <x:v>0.04448398576514245</x:v>
      </x:c>
      <x:c r="U90" s="15" t="n">
        <x:v>0.132949257699988</x:v>
      </x:c>
    </x:row>
    <x:row r="91">
      <x:c r="A91" s="13" t="str">
        <x:v>all_360</x:v>
      </x:c>
      <x:c r="B91" s="36" t="n">
        <x:v>45917.416666666664</x:v>
      </x:c>
      <x:c r="C91" s="36" t="n">
        <x:v>45917.5</x:v>
      </x:c>
      <x:c r="D91" s="15" t="n">
        <x:v>19473.840694</x:v>
      </x:c>
      <x:c r="E91" s="15" t="n">
        <x:v>32906.932679</x:v>
      </x:c>
      <x:c r="F91" s="15" t="n">
        <x:v>52380.773372999996</x:v>
      </x:c>
      <x:c r="G91" s="15" t="n">
        <x:v>-13433.091985</x:v>
      </x:c>
      <x:c r="H91" s="15" t="n">
        <x:v>129730.54460499999</x:v>
      </x:c>
      <x:c r="I91" s="15" t="n">
        <x:v>149204.385299</x:v>
      </x:c>
      <x:c r="J91" s="15" t="n">
        <x:v>2094.129069</x:v>
      </x:c>
      <x:c r="K91" s="15" t="n">
        <x:v>10435.933056</x:v>
      </x:c>
      <x:c r="L91" s="15" t="n">
        <x:v>12530.062125</x:v>
      </x:c>
      <x:c r="M91" s="15" t="n">
        <x:v>-8341.803987</x:v>
      </x:c>
      <x:c r="N91" s="15" t="n">
        <x:v>0.6020066889632136</x:v>
      </x:c>
      <x:c r="O91" s="15" t="n">
        <x:v>71595.84</x:v>
      </x:c>
      <x:c r="P91" s="15" t="n">
        <x:v>320998.85491</x:v>
      </x:c>
      <x:c r="Q91" s="15" t="n">
        <x:v>2213</x:v>
      </x:c>
      <x:c r="R91" s="15" t="n">
        <x:v>4.123574567146759</x:v>
      </x:c>
      <x:c r="S91" s="15" t="n">
        <x:v>0.15607580824973377</x:v>
      </x:c>
      <x:c r="T91" s="15" t="n">
        <x:v>-0.022281639928678487</x:v>
      </x:c>
      <x:c r="U91" s="15" t="n">
        <x:v>0.1339584728734189</x:v>
      </x:c>
    </x:row>
    <x:row r="92">
      <x:c r="A92" s="13" t="str">
        <x:v>all_360</x:v>
      </x:c>
      <x:c r="B92" s="36" t="n">
        <x:v>45917.5</x:v>
      </x:c>
      <x:c r="C92" s="36" t="n">
        <x:v>45917.583333333336</x:v>
      </x:c>
      <x:c r="D92" s="15" t="n">
        <x:v>26310.246683</x:v>
      </x:c>
      <x:c r="E92" s="15" t="n">
        <x:v>27172.80097</x:v>
      </x:c>
      <x:c r="F92" s="15" t="n">
        <x:v>53483.047653</x:v>
      </x:c>
      <x:c r="G92" s="15" t="n">
        <x:v>-862.554286999999</x:v>
      </x:c>
      <x:c r="H92" s="15" t="n">
        <x:v>117052.546334</x:v>
      </x:c>
      <x:c r="I92" s="15" t="n">
        <x:v>143362.793017</x:v>
      </x:c>
      <x:c r="J92" s="15" t="n">
        <x:v>31357.449314</x:v>
      </x:c>
      <x:c r="K92" s="15" t="n">
        <x:v>16263.846578</x:v>
      </x:c>
      <x:c r="L92" s="15" t="n">
        <x:v>47621.295892</x:v>
      </x:c>
      <x:c r="M92" s="15" t="n">
        <x:v>15093.602736</x:v>
      </x:c>
      <x:c r="N92" s="15" t="n">
        <x:v>0.6010685663401633</x:v>
      </x:c>
      <x:c r="O92" s="15" t="n">
        <x:v>66063.27</x:v>
      </x:c>
      <x:c r="P92" s="15" t="n">
        <x:v>296560.26775</x:v>
      </x:c>
      <x:c r="Q92" s="15" t="n">
        <x:v>2317</x:v>
      </x:c>
      <x:c r="R92" s="15" t="n">
        <x:v>4.944430043939807</x:v>
      </x:c>
      <x:c r="S92" s="15" t="n">
        <x:v>0.13345195729538295</x:v>
      </x:c>
      <x:c r="T92" s="15" t="n">
        <x:v>0.032570177325108585</x:v>
      </x:c>
      <x:c r="U92" s="15" t="n">
        <x:v>0.11155734047300081</x:v>
      </x:c>
    </x:row>
    <x:row r="93">
      <x:c r="A93" s="13" t="str">
        <x:v>all_360</x:v>
      </x:c>
      <x:c r="B93" s="36" t="n">
        <x:v>45917.583333333336</x:v>
      </x:c>
      <x:c r="C93" s="36" t="n">
        <x:v>45917.666666666664</x:v>
      </x:c>
      <x:c r="D93" s="15" t="n">
        <x:v>17645.721010999998</x:v>
      </x:c>
      <x:c r="E93" s="15" t="n">
        <x:v>17448.44011</x:v>
      </x:c>
      <x:c r="F93" s="15" t="n">
        <x:v>35094.161121</x:v>
      </x:c>
      <x:c r="G93" s="15" t="n">
        <x:v>197.28090099999827</x:v>
      </x:c>
      <x:c r="H93" s="15" t="n">
        <x:v>44922.49484</x:v>
      </x:c>
      <x:c r="I93" s="15" t="n">
        <x:v>62568.215851</x:v>
      </x:c>
      <x:c r="J93" s="15" t="n">
        <x:v>2014.743443</x:v>
      </x:c>
      <x:c r="K93" s="15" t="n">
        <x:v>2859.542654</x:v>
      </x:c>
      <x:c r="L93" s="15" t="n">
        <x:v>4874.286097</x:v>
      </x:c>
      <x:c r="M93" s="15" t="n">
        <x:v>-844.7992109999998</x:v>
      </x:c>
      <x:c r="N93" s="15" t="n">
        <x:v>0.5802276277616757</x:v>
      </x:c>
      <x:c r="O93" s="15" t="n">
        <x:v>55102.42</x:v>
      </x:c>
      <x:c r="P93" s="15" t="n">
        <x:v>246734.61533</x:v>
      </x:c>
      <x:c r="Q93" s="15" t="n">
        <x:v>2462</x:v>
      </x:c>
      <x:c r="R93" s="15" t="n">
        <x:v>5.670947121296432</x:v>
      </x:c>
      <x:c r="S93" s="15" t="n">
        <x:v>0.1339285714285765</x:v>
      </x:c>
      <x:c r="T93" s="15" t="n">
        <x:v>-0.01986469628367793</x:v>
      </x:c>
      <x:c r="U93" s="15" t="n">
        <x:v>0.15645954403219475</x:v>
      </x:c>
    </x:row>
    <x:row r="94">
      <x:c r="A94" s="13" t="str">
        <x:v>all_360</x:v>
      </x:c>
      <x:c r="B94" s="36" t="n">
        <x:v>45917.666666666664</x:v>
      </x:c>
      <x:c r="C94" s="36" t="n">
        <x:v>45917.75</x:v>
      </x:c>
      <x:c r="D94" s="15" t="n">
        <x:v>17055.813952</x:v>
      </x:c>
      <x:c r="E94" s="15" t="n">
        <x:v>15476.613857999999</x:v>
      </x:c>
      <x:c r="F94" s="15" t="n">
        <x:v>32532.42781</x:v>
      </x:c>
      <x:c r="G94" s="15" t="n">
        <x:v>1579.2000940000016</x:v>
      </x:c>
      <x:c r="H94" s="15" t="n">
        <x:v>116223.851575</x:v>
      </x:c>
      <x:c r="I94" s="15" t="n">
        <x:v>133279.665527</x:v>
      </x:c>
      <x:c r="J94" s="15" t="n">
        <x:v>10542.820081</x:v>
      </x:c>
      <x:c r="K94" s="15" t="n">
        <x:v>5807.030067</x:v>
      </x:c>
      <x:c r="L94" s="15" t="n">
        <x:v>16349.850148</x:v>
      </x:c>
      <x:c r="M94" s="15" t="n">
        <x:v>4735.790014</x:v>
      </x:c>
      <x:c r="N94" s="15" t="n">
        <x:v>1.676727028839709</x:v>
      </x:c>
      <x:c r="O94" s="15" t="n">
        <x:v>130677.91</x:v>
      </x:c>
      <x:c r="P94" s="15" t="n">
        <x:v>586828.02676</x:v>
      </x:c>
      <x:c r="Q94" s="15" t="n">
        <x:v>4181</x:v>
      </x:c>
      <x:c r="R94" s="15" t="n">
        <x:v>7.40316285035596</x:v>
      </x:c>
      <x:c r="S94" s="15" t="n">
        <x:v>0.15625000000001332</x:v>
      </x:c>
      <x:c r="T94" s="15" t="n">
        <x:v>0.2432464744903884</x:v>
      </x:c>
      <x:c r="U94" s="15" t="n">
        <x:v>0.13437849944009095</x:v>
      </x:c>
    </x:row>
    <x:row r="95">
      <x:c r="A95" s="13" t="str">
        <x:v>all_360</x:v>
      </x:c>
      <x:c r="B95" s="36" t="n">
        <x:v>45917.75</x:v>
      </x:c>
      <x:c r="C95" s="36" t="n">
        <x:v>45917.833333333336</x:v>
      </x:c>
      <x:c r="D95" s="15" t="n">
        <x:v>43398.445304</x:v>
      </x:c>
      <x:c r="E95" s="15" t="n">
        <x:v>44573.061956</x:v>
      </x:c>
      <x:c r="F95" s="15" t="n">
        <x:v>87971.50726</x:v>
      </x:c>
      <x:c r="G95" s="15" t="n">
        <x:v>-1174.616651999997</x:v>
      </x:c>
      <x:c r="H95" s="15" t="n">
        <x:v>139813.056084</x:v>
      </x:c>
      <x:c r="I95" s="15" t="n">
        <x:v>183211.501388</x:v>
      </x:c>
      <x:c r="J95" s="15" t="n">
        <x:v>25316.171277</x:v>
      </x:c>
      <x:c r="K95" s="15" t="n">
        <x:v>19238.360559</x:v>
      </x:c>
      <x:c r="L95" s="15" t="n">
        <x:v>44554.531836</x:v>
      </x:c>
      <x:c r="M95" s="15" t="n">
        <x:v>6077.810718000001</x:v>
      </x:c>
      <x:c r="N95" s="15" t="n">
        <x:v>2.08100246140076</x:v>
      </x:c>
      <x:c r="O95" s="15" t="n">
        <x:v>373062.52999999997</x:v>
      </x:c>
      <x:c r="P95" s="15" t="n">
        <x:v>1679657.49083</x:v>
      </x:c>
      <x:c r="Q95" s="15" t="n">
        <x:v>12834</x:v>
      </x:c>
      <x:c r="R95" s="15" t="n">
        <x:v>12.582200659586395</x:v>
      </x:c>
      <x:c r="S95" s="15" t="n">
        <x:v>0.22232103156958338</x:v>
      </x:c>
      <x:c r="T95" s="15" t="n">
        <x:v>0.09378986421999524</x:v>
      </x:c>
      <x:c r="U95" s="15" t="n">
        <x:v>0.2007136485281058</x:v>
      </x:c>
    </x:row>
    <x:row r="96">
      <x:c r="A96" s="13" t="str">
        <x:v>all_360</x:v>
      </x:c>
      <x:c r="B96" s="36" t="n">
        <x:v>45917.833333333336</x:v>
      </x:c>
      <x:c r="C96" s="36" t="n">
        <x:v>45917.916666666664</x:v>
      </x:c>
      <x:c r="D96" s="15" t="n">
        <x:v>31457.946746</x:v>
      </x:c>
      <x:c r="E96" s="15" t="n">
        <x:v>29668.63158</x:v>
      </x:c>
      <x:c r="F96" s="15" t="n">
        <x:v>61126.578326</x:v>
      </x:c>
      <x:c r="G96" s="15" t="n">
        <x:v>1789.3151660000003</x:v>
      </x:c>
      <x:c r="H96" s="15" t="n">
        <x:v>149784.276764</x:v>
      </x:c>
      <x:c r="I96" s="15" t="n">
        <x:v>181242.22351</x:v>
      </x:c>
      <x:c r="J96" s="15" t="n">
        <x:v>21966.409805</x:v>
      </x:c>
      <x:c r="K96" s="15" t="n">
        <x:v>19654.09306</x:v>
      </x:c>
      <x:c r="L96" s="15" t="n">
        <x:v>41620.502865</x:v>
      </x:c>
      <x:c r="M96" s="15" t="n">
        <x:v>2312.316745</x:v>
      </x:c>
      <x:c r="N96" s="15" t="n">
        <x:v>1.6026344676179916</x:v>
      </x:c>
      <x:c r="O96" s="15" t="n">
        <x:v>127322.88</x:v>
      </x:c>
      <x:c r="P96" s="15" t="n">
        <x:v>580018.63651</x:v>
      </x:c>
      <x:c r="Q96" s="15" t="n">
        <x:v>4116</x:v>
      </x:c>
      <x:c r="R96" s="15" t="n">
        <x:v>7.815797702080585</x:v>
      </x:c>
      <x:c r="S96" s="15" t="n">
        <x:v>0.17493986442160825</x:v>
      </x:c>
      <x:c r="T96" s="15" t="n">
        <x:v>0.02890627068009577</x:v>
      </x:c>
      <x:c r="U96" s="15" t="n">
        <x:v>0.132275132275117</x:v>
      </x:c>
    </x:row>
    <x:row r="97">
      <x:c r="A97" s="13" t="str">
        <x:v>all_360</x:v>
      </x:c>
      <x:c r="B97" s="36" t="n">
        <x:v>45917.916666666664</x:v>
      </x:c>
      <x:c r="C97" s="36" t="n">
        <x:v>45918</x:v>
      </x:c>
      <x:c r="D97" s="15" t="n">
        <x:v>71661.094466</x:v>
      </x:c>
      <x:c r="E97" s="15" t="n">
        <x:v>96394.176422</x:v>
      </x:c>
      <x:c r="F97" s="15" t="n">
        <x:v>168055.270888</x:v>
      </x:c>
      <x:c r="G97" s="15" t="n">
        <x:v>-24733.08195600001</x:v>
      </x:c>
      <x:c r="H97" s="15" t="n">
        <x:v>122519.73774699999</x:v>
      </x:c>
      <x:c r="I97" s="15" t="n">
        <x:v>194180.832213</x:v>
      </x:c>
      <x:c r="J97" s="15" t="n">
        <x:v>17365.220621</x:v>
      </x:c>
      <x:c r="K97" s="15" t="n">
        <x:v>10222.636035</x:v>
      </x:c>
      <x:c r="L97" s="15" t="n">
        <x:v>27587.856656</x:v>
      </x:c>
      <x:c r="M97" s="15" t="n">
        <x:v>7142.584586000001</x:v>
      </x:c>
      <x:c r="N97" s="15" t="n">
        <x:v>1.3545990823683696</x:v>
      </x:c>
      <x:c r="O97" s="15" t="n">
        <x:v>206853.73</x:v>
      </x:c>
      <x:c r="P97" s="15" t="n">
        <x:v>952763.90933</x:v>
      </x:c>
      <x:c r="Q97" s="15" t="n">
        <x:v>7794</x:v>
      </x:c>
      <x:c r="R97" s="15" t="n">
        <x:v>7.440233728079826</x:v>
      </x:c>
      <x:c r="S97" s="15" t="n">
        <x:v>0.1523063533507285</x:v>
      </x:c>
      <x:c r="T97" s="15" t="n">
        <x:v>0.1253964930894691</x:v>
      </x:c>
      <x:c r="U97" s="15" t="n">
        <x:v>0.1523063533507285</x:v>
      </x:c>
    </x:row>
    <x:row r="98">
      <x:c r="A98" s="13" t="str">
        <x:v>all_360</x:v>
      </x:c>
      <x:c r="B98" s="36" t="n">
        <x:v>45918</x:v>
      </x:c>
      <x:c r="C98" s="36" t="n">
        <x:v>45918.083333333336</x:v>
      </x:c>
      <x:c r="D98" s="15" t="n">
        <x:v>46313.186986</x:v>
      </x:c>
      <x:c r="E98" s="15" t="n">
        <x:v>25146.984245</x:v>
      </x:c>
      <x:c r="F98" s="15" t="n">
        <x:v>71460.171231</x:v>
      </x:c>
      <x:c r="G98" s="15" t="n">
        <x:v>21166.202741</x:v>
      </x:c>
      <x:c r="H98" s="15" t="n">
        <x:v>42516.08052</x:v>
      </x:c>
      <x:c r="I98" s="15" t="n">
        <x:v>88829.267506</x:v>
      </x:c>
      <x:c r="J98" s="15" t="n">
        <x:v>5890.101995</x:v>
      </x:c>
      <x:c r="K98" s="15" t="n">
        <x:v>1969.1263410000001</x:v>
      </x:c>
      <x:c r="L98" s="15" t="n">
        <x:v>7859.228336</x:v>
      </x:c>
      <x:c r="M98" s="15" t="n">
        <x:v>3920.975654</x:v>
      </x:c>
      <x:c r="N98" s="15" t="n">
        <x:v>0.8885999133073336</x:v>
      </x:c>
      <x:c r="O98" s="15" t="n">
        <x:v>60503.12</x:v>
      </x:c>
      <x:c r="P98" s="15" t="n">
        <x:v>279001.2884</x:v>
      </x:c>
      <x:c r="Q98" s="15" t="n">
        <x:v>3722</x:v>
      </x:c>
      <x:c r="R98" s="15" t="n">
        <x:v>6.225842607584919</x:v>
      </x:c>
      <x:c r="S98" s="15" t="n">
        <x:v>0.1299545159194282</x:v>
      </x:c>
      <x:c r="T98" s="15" t="n">
        <x:v>0.023012963685564714</x:v>
      </x:c>
      <x:c r="U98" s="15" t="n">
        <x:v>0.13006720138738492</x:v>
      </x:c>
    </x:row>
    <x:row r="99">
      <x:c r="A99" s="13" t="str">
        <x:v>all_360</x:v>
      </x:c>
      <x:c r="B99" s="36" t="n">
        <x:v>45918.083333333336</x:v>
      </x:c>
      <x:c r="C99" s="36" t="n">
        <x:v>45918.166666666664</x:v>
      </x:c>
      <x:c r="D99" s="15" t="n">
        <x:v>29588.873587000002</x:v>
      </x:c>
      <x:c r="E99" s="15" t="n">
        <x:v>30678.55961</x:v>
      </x:c>
      <x:c r="F99" s="15" t="n">
        <x:v>60267.433197000006</x:v>
      </x:c>
      <x:c r="G99" s="15" t="n">
        <x:v>-1089.6860229999984</x:v>
      </x:c>
      <x:c r="H99" s="15" t="n">
        <x:v>70350.950296</x:v>
      </x:c>
      <x:c r="I99" s="15" t="n">
        <x:v>99939.823883</x:v>
      </x:c>
      <x:c r="J99" s="15" t="n">
        <x:v>7087.941359</x:v>
      </x:c>
      <x:c r="K99" s="15" t="n">
        <x:v>3478.702886</x:v>
      </x:c>
      <x:c r="L99" s="15" t="n">
        <x:v>10566.644245</x:v>
      </x:c>
      <x:c r="M99" s="15" t="n">
        <x:v>3609.2384730000003</x:v>
      </x:c>
      <x:c r="N99" s="15" t="n">
        <x:v>1.2806598654221872</x:v>
      </x:c>
      <x:c r="O99" s="15" t="n">
        <x:v>120911.18000000001</x:v>
      </x:c>
      <x:c r="P99" s="15" t="n">
        <x:v>558066.01964</x:v>
      </x:c>
      <x:c r="Q99" s="15" t="n">
        <x:v>3451</x:v>
      </x:c>
      <x:c r="R99" s="15" t="n">
        <x:v>5.433693943240847</x:v>
      </x:c>
      <x:c r="S99" s="15" t="n">
        <x:v>0.19599303135887647</x:v>
      </x:c>
      <x:c r="T99" s="15" t="n">
        <x:v>0.1980318864609476</x:v>
      </x:c>
      <x:c r="U99" s="15" t="n">
        <x:v>0.19599303135887647</x:v>
      </x:c>
    </x:row>
    <x:row r="100">
      <x:c r="A100" s="13" t="str">
        <x:v>all_360</x:v>
      </x:c>
      <x:c r="B100" s="36" t="n">
        <x:v>45918.166666666664</x:v>
      </x:c>
      <x:c r="C100" s="36" t="n">
        <x:v>45918.25</x:v>
      </x:c>
      <x:c r="D100" s="15" t="n">
        <x:v>12499.490823</x:v>
      </x:c>
      <x:c r="E100" s="15" t="n">
        <x:v>12883.624394999999</x:v>
      </x:c>
      <x:c r="F100" s="15" t="n">
        <x:v>25383.115218</x:v>
      </x:c>
      <x:c r="G100" s="15" t="n">
        <x:v>-384.1335719999988</x:v>
      </x:c>
      <x:c r="H100" s="15" t="n">
        <x:v>50641.978278</x:v>
      </x:c>
      <x:c r="I100" s="15" t="n">
        <x:v>63141.469101</x:v>
      </x:c>
      <x:c r="J100" s="15" t="n">
        <x:v>2115.772476</x:v>
      </x:c>
      <x:c r="K100" s="15" t="n">
        <x:v>4575.618088</x:v>
      </x:c>
      <x:c r="L100" s="15" t="n">
        <x:v>6691.390564</x:v>
      </x:c>
      <x:c r="M100" s="15" t="n">
        <x:v>-2459.845612</x:v>
      </x:c>
      <x:c r="N100" s="15" t="n">
        <x:v>1.0367170626349902</x:v>
      </x:c>
      <x:c r="O100" s="15" t="n">
        <x:v>76191</x:v>
      </x:c>
      <x:c r="P100" s="15" t="n">
        <x:v>351501.86642</x:v>
      </x:c>
      <x:c r="Q100" s="15" t="n">
        <x:v>2477</x:v>
      </x:c>
      <x:c r="R100" s="15" t="n">
        <x:v>4.595887730520065</x:v>
      </x:c>
      <x:c r="S100" s="15" t="n">
        <x:v>0.195694716242667</x:v>
      </x:c>
      <x:c r="T100" s="15" t="n">
        <x:v>0.07769488426481175</x:v>
      </x:c>
      <x:c r="U100" s="15" t="n">
        <x:v>0.1298420255355981</x:v>
      </x:c>
    </x:row>
    <x:row r="101">
      <x:c r="A101" s="13" t="str">
        <x:v>all_360</x:v>
      </x:c>
      <x:c r="B101" s="36" t="n">
        <x:v>45918.25</x:v>
      </x:c>
      <x:c r="C101" s="36" t="n">
        <x:v>45918.333333333336</x:v>
      </x:c>
      <x:c r="D101" s="15" t="n">
        <x:v>35869.247176</x:v>
      </x:c>
      <x:c r="E101" s="15" t="n">
        <x:v>33923.564627</x:v>
      </x:c>
      <x:c r="F101" s="15" t="n">
        <x:v>69792.81180299999</x:v>
      </x:c>
      <x:c r="G101" s="15" t="n">
        <x:v>1945.6825489999974</x:v>
      </x:c>
      <x:c r="H101" s="15" t="n">
        <x:v>53456.746741</x:v>
      </x:c>
      <x:c r="I101" s="15" t="n">
        <x:v>89325.993917</x:v>
      </x:c>
      <x:c r="J101" s="15" t="n">
        <x:v>5514.539404</x:v>
      </x:c>
      <x:c r="K101" s="15" t="n">
        <x:v>12000.331421</x:v>
      </x:c>
      <x:c r="L101" s="15" t="n">
        <x:v>17514.870825</x:v>
      </x:c>
      <x:c r="M101" s="15" t="n">
        <x:v>-6485.792017000001</x:v>
      </x:c>
      <x:c r="N101" s="15" t="n">
        <x:v>1.0008703220191528</x:v>
      </x:c>
      <x:c r="O101" s="15" t="n">
        <x:v>117209.37</x:v>
      </x:c>
      <x:c r="P101" s="15" t="n">
        <x:v>536102.17414</x:v>
      </x:c>
      <x:c r="Q101" s="15" t="n">
        <x:v>4087</x:v>
      </x:c>
      <x:c r="R101" s="15" t="n">
        <x:v>6.975265845807788</x:v>
      </x:c>
      <x:c r="S101" s="15" t="n">
        <x:v>0.19663535066638538</x:v>
      </x:c>
      <x:c r="T101" s="15" t="n">
        <x:v>0.17471616225586128</x:v>
      </x:c>
      <x:c r="U101" s="15" t="n">
        <x:v>0.1534414730381517</x:v>
      </x:c>
    </x:row>
    <x:row r="102">
      <x:c r="A102" s="13" t="str">
        <x:v>all_360</x:v>
      </x:c>
      <x:c r="B102" s="36" t="n">
        <x:v>45918.333333333336</x:v>
      </x:c>
      <x:c r="C102" s="36" t="n">
        <x:v>45918.416666666664</x:v>
      </x:c>
      <x:c r="D102" s="15" t="n">
        <x:v>41820.194322</x:v>
      </x:c>
      <x:c r="E102" s="15" t="n">
        <x:v>42599.491616</x:v>
      </x:c>
      <x:c r="F102" s="15" t="n">
        <x:v>84419.68593800001</x:v>
      </x:c>
      <x:c r="G102" s="15" t="n">
        <x:v>-779.2972939999963</x:v>
      </x:c>
      <x:c r="H102" s="15" t="n">
        <x:v>73558.248791</x:v>
      </x:c>
      <x:c r="I102" s="15" t="n">
        <x:v>115378.44311300002</x:v>
      </x:c>
      <x:c r="J102" s="15" t="n">
        <x:v>10368.965268</x:v>
      </x:c>
      <x:c r="K102" s="15" t="n">
        <x:v>32128.542129999998</x:v>
      </x:c>
      <x:c r="L102" s="15" t="n">
        <x:v>42497.507398</x:v>
      </x:c>
      <x:c r="M102" s="15" t="n">
        <x:v>-21759.576861999998</x:v>
      </x:c>
      <x:c r="N102" s="15" t="n">
        <x:v>0.850785340314149</x:v>
      </x:c>
      <x:c r="O102" s="15" t="n">
        <x:v>95965.09999999999</x:v>
      </x:c>
      <x:c r="P102" s="15" t="n">
        <x:v>442181.87595</x:v>
      </x:c>
      <x:c r="Q102" s="15" t="n">
        <x:v>3208</x:v>
      </x:c>
      <x:c r="R102" s="15" t="n">
        <x:v>5.754534469719452</x:v>
      </x:c>
      <x:c r="S102" s="15" t="n">
        <x:v>0.10874293170943794</x:v>
      </x:c>
      <x:c r="T102" s="15" t="n">
        <x:v>0.021762785636547655</x:v>
      </x:c>
      <x:c r="U102" s="15" t="n">
        <x:v>0.10874293170943794</x:v>
      </x:c>
    </x:row>
    <x:row r="103">
      <x:c r="A103" s="13" t="str">
        <x:v>all_360</x:v>
      </x:c>
      <x:c r="B103" s="36" t="n">
        <x:v>45918.416666666664</x:v>
      </x:c>
      <x:c r="C103" s="36" t="n">
        <x:v>45918.5</x:v>
      </x:c>
      <x:c r="D103" s="15" t="n">
        <x:v>23630.556902</x:v>
      </x:c>
      <x:c r="E103" s="15" t="n">
        <x:v>22586.880716</x:v>
      </x:c>
      <x:c r="F103" s="15" t="n">
        <x:v>46217.437617999996</x:v>
      </x:c>
      <x:c r="G103" s="15" t="n">
        <x:v>1043.6761860000006</x:v>
      </x:c>
      <x:c r="H103" s="15" t="n">
        <x:v>54146.162643</x:v>
      </x:c>
      <x:c r="I103" s="15" t="n">
        <x:v>77776.719545</x:v>
      </x:c>
      <x:c r="J103" s="15" t="n">
        <x:v>5708.135231</x:v>
      </x:c>
      <x:c r="K103" s="15" t="n">
        <x:v>8125.217592999999</x:v>
      </x:c>
      <x:c r="L103" s="15" t="n">
        <x:v>13833.352824</x:v>
      </x:c>
      <x:c r="M103" s="15" t="n">
        <x:v>-2417.082361999999</x:v>
      </x:c>
      <x:c r="N103" s="15" t="n">
        <x:v>0.6942937730527236</x:v>
      </x:c>
      <x:c r="O103" s="15" t="n">
        <x:v>73068.03</x:v>
      </x:c>
      <x:c r="P103" s="15" t="n">
        <x:v>335497.99367</x:v>
      </x:c>
      <x:c r="Q103" s="15" t="n">
        <x:v>2572</x:v>
      </x:c>
      <x:c r="R103" s="15" t="n">
        <x:v>5.488694403787919</x:v>
      </x:c>
      <x:c r="S103" s="15" t="n">
        <x:v>0.10895619960777925</x:v>
      </x:c>
      <x:c r="T103" s="15" t="n">
        <x:v>0.02171552660152898</x:v>
      </x:c>
      <x:c r="U103" s="15" t="n">
        <x:v>0.1526051885764046</x:v>
      </x:c>
    </x:row>
    <x:row r="104">
      <x:c r="A104" s="13" t="str">
        <x:v>all_360</x:v>
      </x:c>
      <x:c r="B104" s="36" t="n">
        <x:v>45918.5</x:v>
      </x:c>
      <x:c r="C104" s="36" t="n">
        <x:v>45918.583333333336</x:v>
      </x:c>
      <x:c r="D104" s="15" t="n">
        <x:v>18049.487284</x:v>
      </x:c>
      <x:c r="E104" s="15" t="n">
        <x:v>25387.987675</x:v>
      </x:c>
      <x:c r="F104" s="15" t="n">
        <x:v>43437.474959</x:v>
      </x:c>
      <x:c r="G104" s="15" t="n">
        <x:v>-7338.500391000001</x:v>
      </x:c>
      <x:c r="H104" s="15" t="n">
        <x:v>357289.0219</x:v>
      </x:c>
      <x:c r="I104" s="15" t="n">
        <x:v>375338.50918399997</x:v>
      </x:c>
      <x:c r="J104" s="15" t="n">
        <x:v>6804.054873</x:v>
      </x:c>
      <x:c r="K104" s="15" t="n">
        <x:v>6939.496709</x:v>
      </x:c>
      <x:c r="L104" s="15" t="n">
        <x:v>13743.551582</x:v>
      </x:c>
      <x:c r="M104" s="15" t="n">
        <x:v>-135.44183599999997</x:v>
      </x:c>
      <x:c r="N104" s="15" t="n">
        <x:v>1.0004349717268242</x:v>
      </x:c>
      <x:c r="O104" s="15" t="n">
        <x:v>121531.55</x:v>
      </x:c>
      <x:c r="P104" s="15" t="n">
        <x:v>559906.28004</x:v>
      </x:c>
      <x:c r="Q104" s="15" t="n">
        <x:v>3624</x:v>
      </x:c>
      <x:c r="R104" s="15" t="n">
        <x:v>6.42679295092794</x:v>
      </x:c>
      <x:c r="S104" s="15" t="n">
        <x:v>0.17331022530329143</x:v>
      </x:c>
      <x:c r="T104" s="15" t="n">
        <x:v>0.03239780116196522</x:v>
      </x:c>
      <x:c r="U104" s="15" t="n">
        <x:v>0.1519097222222099</x:v>
      </x:c>
    </x:row>
    <x:row r="105">
      <x:c r="A105" s="13" t="str">
        <x:v>all_360</x:v>
      </x:c>
      <x:c r="B105" s="36" t="n">
        <x:v>45918.583333333336</x:v>
      </x:c>
      <x:c r="C105" s="36" t="n">
        <x:v>45918.666666666664</x:v>
      </x:c>
      <x:c r="D105" s="15" t="n">
        <x:v>72045.992372</x:v>
      </x:c>
      <x:c r="E105" s="15" t="n">
        <x:v>63968.620481</x:v>
      </x:c>
      <x:c r="F105" s="15" t="n">
        <x:v>136014.612853</x:v>
      </x:c>
      <x:c r="G105" s="15" t="n">
        <x:v>8077.371890999995</x:v>
      </x:c>
      <x:c r="H105" s="15" t="n">
        <x:v>79294.864029</x:v>
      </x:c>
      <x:c r="I105" s="15" t="n">
        <x:v>151340.856401</x:v>
      </x:c>
      <x:c r="J105" s="15" t="n">
        <x:v>7023.120145</x:v>
      </x:c>
      <x:c r="K105" s="15" t="n">
        <x:v>3443.034529</x:v>
      </x:c>
      <x:c r="L105" s="15" t="n">
        <x:v>10466.154674</x:v>
      </x:c>
      <x:c r="M105" s="15" t="n">
        <x:v>3580.085616</x:v>
      </x:c>
      <x:c r="N105" s="15" t="n">
        <x:v>0.7147498375568629</x:v>
      </x:c>
      <x:c r="O105" s="15" t="n">
        <x:v>109231.53</x:v>
      </x:c>
      <x:c r="P105" s="15" t="n">
        <x:v>505035.44202</x:v>
      </x:c>
      <x:c r="Q105" s="15" t="n">
        <x:v>3233</x:v>
      </x:c>
      <x:c r="R105" s="15" t="n">
        <x:v>5.42999917328757</x:v>
      </x:c>
      <x:c r="S105" s="15" t="n">
        <x:v>0.15125324114086958</x:v>
      </x:c>
      <x:c r="T105" s="15" t="n">
        <x:v>0.015674605710125356</x:v>
      </x:c>
      <x:c r="U105" s="15" t="n">
        <x:v>0.10785159620362306</x:v>
      </x:c>
    </x:row>
    <x:row r="106">
      <x:c r="A106" s="13" t="str">
        <x:v>all_360</x:v>
      </x:c>
      <x:c r="B106" s="36" t="n">
        <x:v>45918.666666666664</x:v>
      </x:c>
      <x:c r="C106" s="36" t="n">
        <x:v>45918.75</x:v>
      </x:c>
      <x:c r="D106" s="15" t="n">
        <x:v>17179.35325</x:v>
      </x:c>
      <x:c r="E106" s="15" t="n">
        <x:v>24132.699255</x:v>
      </x:c>
      <x:c r="F106" s="15" t="n">
        <x:v>41312.052505</x:v>
      </x:c>
      <x:c r="G106" s="15" t="n">
        <x:v>-6953.346004999999</x:v>
      </x:c>
      <x:c r="H106" s="15" t="n">
        <x:v>148758.776348</x:v>
      </x:c>
      <x:c r="I106" s="15" t="n">
        <x:v>165938.12959800003</x:v>
      </x:c>
      <x:c r="J106" s="15" t="n">
        <x:v>7872.418667</x:v>
      </x:c>
      <x:c r="K106" s="15" t="n">
        <x:v>9670.552051</x:v>
      </x:c>
      <x:c r="L106" s="15" t="n">
        <x:v>17542.970718</x:v>
      </x:c>
      <x:c r="M106" s="15" t="n">
        <x:v>-1798.1333840000007</x:v>
      </x:c>
      <x:c r="N106" s="15" t="n">
        <x:v>1.1471861471861458</x:v>
      </x:c>
      <x:c r="O106" s="15" t="n">
        <x:v>161156.95</x:v>
      </x:c>
      <x:c r="P106" s="15" t="n">
        <x:v>748969.19496</x:v>
      </x:c>
      <x:c r="Q106" s="15" t="n">
        <x:v>4205</x:v>
      </x:c>
      <x:c r="R106" s="15" t="n">
        <x:v>5.753770831979121</x:v>
      </x:c>
      <x:c r="S106" s="15" t="n">
        <x:v>0.15089458935116928</x:v>
      </x:c>
      <x:c r="T106" s="15" t="n">
        <x:v>0.02160760587727184</x:v>
      </x:c>
      <x:c r="U106" s="15" t="n">
        <x:v>0.12953367875646604</x:v>
      </x:c>
    </x:row>
    <x:row r="107">
      <x:c r="A107" s="13" t="str">
        <x:v>all_360</x:v>
      </x:c>
      <x:c r="B107" s="36" t="n">
        <x:v>45918.75</x:v>
      </x:c>
      <x:c r="C107" s="36" t="n">
        <x:v>45918.833333333336</x:v>
      </x:c>
      <x:c r="D107" s="15" t="n">
        <x:v>17511.618563</x:v>
      </x:c>
      <x:c r="E107" s="15" t="n">
        <x:v>16500.366064</x:v>
      </x:c>
      <x:c r="F107" s="15" t="n">
        <x:v>34011.984627</x:v>
      </x:c>
      <x:c r="G107" s="15" t="n">
        <x:v>1011.2524989999984</x:v>
      </x:c>
      <x:c r="H107" s="15" t="n">
        <x:v>42741.78423</x:v>
      </x:c>
      <x:c r="I107" s="15" t="n">
        <x:v>60253.402793</x:v>
      </x:c>
      <x:c r="J107" s="15" t="n">
        <x:v>15478.832142000001</x:v>
      </x:c>
      <x:c r="K107" s="15" t="n">
        <x:v>8507.769882999999</x:v>
      </x:c>
      <x:c r="L107" s="15" t="n">
        <x:v>23986.602025</x:v>
      </x:c>
      <x:c r="M107" s="15" t="n">
        <x:v>6971.062259000002</x:v>
      </x:c>
      <x:c r="N107" s="15" t="n">
        <x:v>1.136120042872472</x:v>
      </x:c>
      <x:c r="O107" s="15" t="n">
        <x:v>126373.7</x:v>
      </x:c>
      <x:c r="P107" s="15" t="n">
        <x:v>590708.94267</x:v>
      </x:c>
      <x:c r="Q107" s="15" t="n">
        <x:v>3678</x:v>
      </x:c>
      <x:c r="R107" s="15" t="n">
        <x:v>5.396134222525784</x:v>
      </x:c>
      <x:c r="S107" s="15" t="n">
        <x:v>0.12861736334405238</x:v>
      </x:c>
      <x:c r="T107" s="15" t="n">
        <x:v>0.0397787786631687</x:v>
      </x:c>
      <x:c r="U107" s="15" t="n">
        <x:v>0.10711225364181676</x:v>
      </x:c>
    </x:row>
    <x:row r="108">
      <x:c r="A108" s="13" t="str">
        <x:v>all_360</x:v>
      </x:c>
      <x:c r="B108" s="36" t="n">
        <x:v>45918.833333333336</x:v>
      </x:c>
      <x:c r="C108" s="36" t="n">
        <x:v>45918.916666666664</x:v>
      </x:c>
      <x:c r="D108" s="15" t="n">
        <x:v>66803.810516</x:v>
      </x:c>
      <x:c r="E108" s="15" t="n">
        <x:v>52296.648105</x:v>
      </x:c>
      <x:c r="F108" s="15" t="n">
        <x:v>119100.458621</x:v>
      </x:c>
      <x:c r="G108" s="15" t="n">
        <x:v>14507.162410999998</x:v>
      </x:c>
      <x:c r="H108" s="15" t="n">
        <x:v>128428.000245</x:v>
      </x:c>
      <x:c r="I108" s="15" t="n">
        <x:v>195231.810761</x:v>
      </x:c>
      <x:c r="J108" s="15" t="n">
        <x:v>16692.048471000002</x:v>
      </x:c>
      <x:c r="K108" s="15" t="n">
        <x:v>10291.014902</x:v>
      </x:c>
      <x:c r="L108" s="15" t="n">
        <x:v>26983.063373000005</x:v>
      </x:c>
      <x:c r="M108" s="15" t="n">
        <x:v>6401.033569000001</x:v>
      </x:c>
      <x:c r="N108" s="15" t="n">
        <x:v>0.770877944325473</x:v>
      </x:c>
      <x:c r="O108" s="15" t="n">
        <x:v>170859.61</x:v>
      </x:c>
      <x:c r="P108" s="15" t="n">
        <x:v>801437.26668</x:v>
      </x:c>
      <x:c r="Q108" s="15" t="n">
        <x:v>3905</x:v>
      </x:c>
      <x:c r="R108" s="15" t="n">
        <x:v>6.063570280412889</x:v>
      </x:c>
      <x:c r="S108" s="15" t="n">
        <x:v>0.12801365478984916</x:v>
      </x:c>
      <x:c r="T108" s="15" t="n">
        <x:v>0.012534592500412778</x:v>
      </x:c>
      <x:c r="U108" s="15" t="n">
        <x:v>0.12806830309497474</x:v>
      </x:c>
    </x:row>
    <x:row r="109">
      <x:c r="A109" s="13" t="str">
        <x:v>all_360</x:v>
      </x:c>
      <x:c r="B109" s="36" t="n">
        <x:v>45918.916666666664</x:v>
      </x:c>
      <x:c r="C109" s="36" t="n">
        <x:v>45919</x:v>
      </x:c>
      <x:c r="D109" s="15" t="n">
        <x:v>129572.493821</x:v>
      </x:c>
      <x:c r="E109" s="15" t="n">
        <x:v>131581.338426</x:v>
      </x:c>
      <x:c r="F109" s="15" t="n">
        <x:v>261153.832247</x:v>
      </x:c>
      <x:c r="G109" s="15" t="n">
        <x:v>-2008.8446050000057</x:v>
      </x:c>
      <x:c r="H109" s="15" t="n">
        <x:v>114053.414687</x:v>
      </x:c>
      <x:c r="I109" s="15" t="n">
        <x:v>243625.908508</x:v>
      </x:c>
      <x:c r="J109" s="15" t="n">
        <x:v>3108.746348</x:v>
      </x:c>
      <x:c r="K109" s="15" t="n">
        <x:v>6470.889319000001</x:v>
      </x:c>
      <x:c r="L109" s="15" t="n">
        <x:v>9579.635667</x:v>
      </x:c>
      <x:c r="M109" s="15" t="n">
        <x:v>-3362.1429710000007</x:v>
      </x:c>
      <x:c r="N109" s="15" t="n">
        <x:v>1.2574595055413504</x:v>
      </x:c>
      <x:c r="O109" s="15" t="n">
        <x:v>115678.77</x:v>
      </x:c>
      <x:c r="P109" s="15" t="n">
        <x:v>541033.83574</x:v>
      </x:c>
      <x:c r="Q109" s="15" t="n">
        <x:v>2915</x:v>
      </x:c>
      <x:c r="R109" s="15" t="n">
        <x:v>6.437648188976852</x:v>
      </x:c>
      <x:c r="S109" s="15" t="n">
        <x:v>0.1502468340845553</x:v>
      </x:c>
      <x:c r="T109" s="15" t="n">
        <x:v>0.04370156377440093</x:v>
      </x:c>
      <x:c r="U109" s="15" t="n">
        <x:v>0.10736525660296481</x:v>
      </x:c>
    </x:row>
    <x:row r="110">
      <x:c r="A110" s="13" t="str">
        <x:v>all_360</x:v>
      </x:c>
      <x:c r="B110" s="36" t="n">
        <x:v>45919</x:v>
      </x:c>
      <x:c r="C110" s="36" t="n">
        <x:v>45919.083333333336</x:v>
      </x:c>
      <x:c r="D110" s="15" t="n">
        <x:v>34113.87231</x:v>
      </x:c>
      <x:c r="E110" s="15" t="n">
        <x:v>35069.248457</x:v>
      </x:c>
      <x:c r="F110" s="15" t="n">
        <x:v>69183.120767</x:v>
      </x:c>
      <x:c r="G110" s="15" t="n">
        <x:v>-955.3761470000027</x:v>
      </x:c>
      <x:c r="H110" s="15" t="n">
        <x:v>71822.832486</x:v>
      </x:c>
      <x:c r="I110" s="15" t="n">
        <x:v>105936.704796</x:v>
      </x:c>
      <x:c r="J110" s="15" t="n">
        <x:v>21796.385938</x:v>
      </x:c>
      <x:c r="K110" s="15" t="n">
        <x:v>3547.296662</x:v>
      </x:c>
      <x:c r="L110" s="15" t="n">
        <x:v>25343.6826</x:v>
      </x:c>
      <x:c r="M110" s="15" t="n">
        <x:v>18249.089276</x:v>
      </x:c>
      <x:c r="N110" s="15" t="n">
        <x:v>1.69092465753426</x:v>
      </x:c>
      <x:c r="O110" s="15" t="n">
        <x:v>173073.99</x:v>
      </x:c>
      <x:c r="P110" s="15" t="n">
        <x:v>817451.56926</x:v>
      </x:c>
      <x:c r="Q110" s="15" t="n">
        <x:v>4568</x:v>
      </x:c>
      <x:c r="R110" s="15" t="n">
        <x:v>7.0978287273343765</x:v>
      </x:c>
      <x:c r="S110" s="15" t="n">
        <x:v>0.17094017094017033</x:v>
      </x:c>
      <x:c r="T110" s="15" t="n">
        <x:v>0.0381373324678802</x:v>
      </x:c>
      <x:c r="U110" s="15" t="n">
        <x:v>0.14890448840672033</x:v>
      </x:c>
    </x:row>
    <x:row r="111">
      <x:c r="A111" s="13" t="str">
        <x:v>all_360</x:v>
      </x:c>
      <x:c r="B111" s="36" t="n">
        <x:v>45919.083333333336</x:v>
      </x:c>
      <x:c r="C111" s="36" t="n">
        <x:v>45919.166666666664</x:v>
      </x:c>
      <x:c r="D111" s="15" t="n">
        <x:v>19756.970055</x:v>
      </x:c>
      <x:c r="E111" s="15" t="n">
        <x:v>24395.447346</x:v>
      </x:c>
      <x:c r="F111" s="15" t="n">
        <x:v>44152.417401</x:v>
      </x:c>
      <x:c r="G111" s="15" t="n">
        <x:v>-4638.477290999999</x:v>
      </x:c>
      <x:c r="H111" s="15" t="n">
        <x:v>235107.221456</x:v>
      </x:c>
      <x:c r="I111" s="15" t="n">
        <x:v>254864.191511</x:v>
      </x:c>
      <x:c r="J111" s="15" t="n">
        <x:v>3611.140109</x:v>
      </x:c>
      <x:c r="K111" s="15" t="n">
        <x:v>17366.963611</x:v>
      </x:c>
      <x:c r="L111" s="15" t="n">
        <x:v>20978.10372</x:v>
      </x:c>
      <x:c r="M111" s="15" t="n">
        <x:v>-13755.823502</x:v>
      </x:c>
      <x:c r="N111" s="15" t="n">
        <x:v>2.20572640509014</x:v>
      </x:c>
      <x:c r="O111" s="15" t="n">
        <x:v>145664.56</x:v>
      </x:c>
      <x:c r="P111" s="15" t="n">
        <x:v>678048.32609</x:v>
      </x:c>
      <x:c r="Q111" s="15" t="n">
        <x:v>3849</x:v>
      </x:c>
      <x:c r="R111" s="15" t="n">
        <x:v>6.895291413981974</x:v>
      </x:c>
      <x:c r="S111" s="15" t="n">
        <x:v>0.15115525804363372</x:v>
      </x:c>
      <x:c r="T111" s="15" t="n">
        <x:v>0.06925715144174838</x:v>
      </x:c>
      <x:c r="U111" s="15" t="n">
        <x:v>0.15115525804363372</x:v>
      </x:c>
    </x:row>
    <x:row r="112">
      <x:c r="A112" s="13" t="str">
        <x:v>all_360</x:v>
      </x:c>
      <x:c r="B112" s="36" t="n">
        <x:v>45919.166666666664</x:v>
      </x:c>
      <x:c r="C112" s="36" t="n">
        <x:v>45919.25</x:v>
      </x:c>
      <x:c r="D112" s="15" t="n">
        <x:v>33196.530082</x:v>
      </x:c>
      <x:c r="E112" s="15" t="n">
        <x:v>28346.519874</x:v>
      </x:c>
      <x:c r="F112" s="15" t="n">
        <x:v>61543.049956</x:v>
      </x:c>
      <x:c r="G112" s="15" t="n">
        <x:v>4850.010207999996</x:v>
      </x:c>
      <x:c r="H112" s="15" t="n">
        <x:v>38939.680458</x:v>
      </x:c>
      <x:c r="I112" s="15" t="n">
        <x:v>72136.21054</x:v>
      </x:c>
      <x:c r="J112" s="15" t="n">
        <x:v>8023.87834</x:v>
      </x:c>
      <x:c r="K112" s="15" t="n">
        <x:v>8456.620859999999</x:v>
      </x:c>
      <x:c r="L112" s="15" t="n">
        <x:v>16480.4992</x:v>
      </x:c>
      <x:c r="M112" s="15" t="n">
        <x:v>-432.7425199999989</x:v>
      </x:c>
      <x:c r="N112" s="15" t="n">
        <x:v>1.4044943820224804</x:v>
      </x:c>
      <x:c r="O112" s="15" t="n">
        <x:v>103871.14</x:v>
      </x:c>
      <x:c r="P112" s="15" t="n">
        <x:v>480667.68305</x:v>
      </x:c>
      <x:c r="Q112" s="15" t="n">
        <x:v>3404</x:v>
      </x:c>
      <x:c r="R112" s="15" t="n">
        <x:v>7.599997483372212</x:v>
      </x:c>
      <x:c r="S112" s="15" t="n">
        <x:v>0.17286084701815252</x:v>
      </x:c>
      <x:c r="T112" s="15" t="n">
        <x:v>0.008912501643654203</x:v>
      </x:c>
      <x:c r="U112" s="15" t="n">
        <x:v>0.15102481121898048</x:v>
      </x:c>
    </x:row>
    <x:row r="113">
      <x:c r="A113" s="13" t="str">
        <x:v>all_360</x:v>
      </x:c>
      <x:c r="B113" s="36" t="n">
        <x:v>45919.25</x:v>
      </x:c>
      <x:c r="C113" s="36" t="n">
        <x:v>45919.333333333336</x:v>
      </x:c>
      <x:c r="D113" s="15" t="n">
        <x:v>36552.198764</x:v>
      </x:c>
      <x:c r="E113" s="15" t="n">
        <x:v>35347.035033</x:v>
      </x:c>
      <x:c r="F113" s="15" t="n">
        <x:v>71899.233797</x:v>
      </x:c>
      <x:c r="G113" s="15" t="n">
        <x:v>1205.1637310000006</x:v>
      </x:c>
      <x:c r="H113" s="15" t="n">
        <x:v>45160.379333</x:v>
      </x:c>
      <x:c r="I113" s="15" t="n">
        <x:v>81712.57809699999</x:v>
      </x:c>
      <x:c r="J113" s="15" t="n">
        <x:v>40533.657485</x:v>
      </x:c>
      <x:c r="K113" s="15" t="n">
        <x:v>22577.576954</x:v>
      </x:c>
      <x:c r="L113" s="15" t="n">
        <x:v>63111.23443900001</x:v>
      </x:c>
      <x:c r="M113" s="15" t="n">
        <x:v>17956.080531000003</x:v>
      </x:c>
      <x:c r="N113" s="15" t="n">
        <x:v>0.9472551130247493</x:v>
      </x:c>
      <x:c r="O113" s="15" t="n">
        <x:v>107572.48</x:v>
      </x:c>
      <x:c r="P113" s="15" t="n">
        <x:v>498312.21264</x:v>
      </x:c>
      <x:c r="Q113" s="15" t="n">
        <x:v>3524</x:v>
      </x:c>
      <x:c r="R113" s="15" t="n">
        <x:v>7.744100890558481</x:v>
      </x:c>
      <x:c r="S113" s="15" t="n">
        <x:v>0.17252533965925743</x:v>
      </x:c>
      <x:c r="T113" s="15" t="n">
        <x:v>0.021565667457390525</x:v>
      </x:c>
      <x:c r="U113" s="15" t="n">
        <x:v>0.17233950883239757</x:v>
      </x:c>
    </x:row>
    <x:row r="114">
      <x:c r="A114" s="13" t="str">
        <x:v>all_360</x:v>
      </x:c>
      <x:c r="B114" s="36" t="n">
        <x:v>45919.333333333336</x:v>
      </x:c>
      <x:c r="C114" s="36" t="n">
        <x:v>45919.416666666664</x:v>
      </x:c>
      <x:c r="D114" s="15" t="n">
        <x:v>28595.945327</x:v>
      </x:c>
      <x:c r="E114" s="15" t="n">
        <x:v>31706.635229</x:v>
      </x:c>
      <x:c r="F114" s="15" t="n">
        <x:v>60302.580556</x:v>
      </x:c>
      <x:c r="G114" s="15" t="n">
        <x:v>-3110.6899019999983</x:v>
      </x:c>
      <x:c r="H114" s="15" t="n">
        <x:v>55968.092483</x:v>
      </x:c>
      <x:c r="I114" s="15" t="n">
        <x:v>84564.03781000001</x:v>
      </x:c>
      <x:c r="J114" s="15" t="n">
        <x:v>10068.965478</x:v>
      </x:c>
      <x:c r="K114" s="15" t="n">
        <x:v>11817.843934</x:v>
      </x:c>
      <x:c r="L114" s="15" t="n">
        <x:v>21886.809412000002</x:v>
      </x:c>
      <x:c r="M114" s="15" t="n">
        <x:v>-1748.8784560000004</x:v>
      </x:c>
      <x:c r="N114" s="15" t="n">
        <x:v>1.7248814144027613</x:v>
      </x:c>
      <x:c r="O114" s="15" t="n">
        <x:v>160134.62</x:v>
      </x:c>
      <x:c r="P114" s="15" t="n">
        <x:v>744842.95012</x:v>
      </x:c>
      <x:c r="Q114" s="15" t="n">
        <x:v>4664</x:v>
      </x:c>
      <x:c r="R114" s="15" t="n">
        <x:v>7.462144320169228</x:v>
      </x:c>
      <x:c r="S114" s="15" t="n">
        <x:v>0.1711596063329046</x:v>
      </x:c>
      <x:c r="T114" s="15" t="n">
        <x:v>0.018847510873487572</x:v>
      </x:c>
      <x:c r="U114" s="15" t="n">
        <x:v>0.12922679302175277</x:v>
      </x:c>
    </x:row>
    <x:row r="115">
      <x:c r="A115" s="13" t="str">
        <x:v>all_360</x:v>
      </x:c>
      <x:c r="B115" s="36" t="n">
        <x:v>45919.416666666664</x:v>
      </x:c>
      <x:c r="C115" s="36" t="n">
        <x:v>45919.5</x:v>
      </x:c>
      <x:c r="D115" s="15" t="n">
        <x:v>40812.046333</x:v>
      </x:c>
      <x:c r="E115" s="15" t="n">
        <x:v>39981.862305</x:v>
      </x:c>
      <x:c r="F115" s="15" t="n">
        <x:v>80793.908638</x:v>
      </x:c>
      <x:c r="G115" s="15" t="n">
        <x:v>830.184027999996</x:v>
      </x:c>
      <x:c r="H115" s="15" t="n">
        <x:v>68542.503247</x:v>
      </x:c>
      <x:c r="I115" s="15" t="n">
        <x:v>109354.54957999999</x:v>
      </x:c>
      <x:c r="J115" s="15" t="n">
        <x:v>3778.269667</x:v>
      </x:c>
      <x:c r="K115" s="15" t="n">
        <x:v>12444.250639</x:v>
      </x:c>
      <x:c r="L115" s="15" t="n">
        <x:v>16222.520306</x:v>
      </x:c>
      <x:c r="M115" s="15" t="n">
        <x:v>-8665.980972</x:v>
      </x:c>
      <x:c r="N115" s="15" t="n">
        <x:v>1.5361315447858204</x:v>
      </x:c>
      <x:c r="O115" s="15" t="n">
        <x:v>191869.98</x:v>
      </x:c>
      <x:c r="P115" s="15" t="n">
        <x:v>886447.16839</x:v>
      </x:c>
      <x:c r="Q115" s="15" t="n">
        <x:v>4562</x:v>
      </x:c>
      <x:c r="R115" s="15" t="n">
        <x:v>6.993583054805885</x:v>
      </x:c>
      <x:c r="S115" s="15" t="n">
        <x:v>0.19425857975394756</x:v>
      </x:c>
      <x:c r="T115" s="15" t="n">
        <x:v>-0.004016300885845148</x:v>
      </x:c>
      <x:c r="U115" s="15" t="n">
        <x:v>0.15247222827271534</x:v>
      </x:c>
    </x:row>
    <x:row r="116">
      <x:c r="A116" s="13" t="str">
        <x:v>all_360</x:v>
      </x:c>
      <x:c r="B116" s="36" t="n">
        <x:v>45919.5</x:v>
      </x:c>
      <x:c r="C116" s="36" t="n">
        <x:v>45919.583333333336</x:v>
      </x:c>
      <x:c r="D116" s="15" t="n">
        <x:v>33060.656394</x:v>
      </x:c>
      <x:c r="E116" s="15" t="n">
        <x:v>26069.606087</x:v>
      </x:c>
      <x:c r="F116" s="15" t="n">
        <x:v>59130.262481</x:v>
      </x:c>
      <x:c r="G116" s="15" t="n">
        <x:v>6991.050306999998</x:v>
      </x:c>
      <x:c r="H116" s="15" t="n">
        <x:v>95204.793003</x:v>
      </x:c>
      <x:c r="I116" s="15" t="n">
        <x:v>128265.44939699999</x:v>
      </x:c>
      <x:c r="J116" s="15" t="n">
        <x:v>19172.923641999998</x:v>
      </x:c>
      <x:c r="K116" s="15" t="n">
        <x:v>4749.28377</x:v>
      </x:c>
      <x:c r="L116" s="15" t="n">
        <x:v>23922.207411999996</x:v>
      </x:c>
      <x:c r="M116" s="15" t="n">
        <x:v>14423.639871999998</x:v>
      </x:c>
      <x:c r="N116" s="15" t="n">
        <x:v>0.9799651567944236</x:v>
      </x:c>
      <x:c r="O116" s="15" t="n">
        <x:v>148992.31</x:v>
      </x:c>
      <x:c r="P116" s="15" t="n">
        <x:v>683578.36933</x:v>
      </x:c>
      <x:c r="Q116" s="15" t="n">
        <x:v>4216</x:v>
      </x:c>
      <x:c r="R116" s="15" t="n">
        <x:v>7.45196396973784</x:v>
      </x:c>
      <x:c r="S116" s="15" t="n">
        <x:v>0.19633507853401566</x:v>
      </x:c>
      <x:c r="T116" s="15" t="n">
        <x:v>0.10481651281764037</x:v>
      </x:c>
      <x:c r="U116" s="15" t="n">
        <x:v>0.15270506108201465</x:v>
      </x:c>
    </x:row>
    <x:row r="117">
      <x:c r="A117" s="13" t="str">
        <x:v>all_360</x:v>
      </x:c>
      <x:c r="B117" s="36" t="n">
        <x:v>45919.583333333336</x:v>
      </x:c>
      <x:c r="C117" s="36" t="n">
        <x:v>45919.666666666664</x:v>
      </x:c>
      <x:c r="D117" s="15" t="n">
        <x:v>17939.821956</x:v>
      </x:c>
      <x:c r="E117" s="15" t="n">
        <x:v>19254.702507</x:v>
      </x:c>
      <x:c r="F117" s="15" t="n">
        <x:v>37194.524463</x:v>
      </x:c>
      <x:c r="G117" s="15" t="n">
        <x:v>-1314.880551000002</x:v>
      </x:c>
      <x:c r="H117" s="15" t="n">
        <x:v>94399.581278</x:v>
      </x:c>
      <x:c r="I117" s="15" t="n">
        <x:v>112339.403234</x:v>
      </x:c>
      <x:c r="J117" s="15" t="n">
        <x:v>4193.450651</x:v>
      </x:c>
      <x:c r="K117" s="15" t="n">
        <x:v>11576.509512</x:v>
      </x:c>
      <x:c r="L117" s="15" t="n">
        <x:v>15769.960163</x:v>
      </x:c>
      <x:c r="M117" s="15" t="n">
        <x:v>-7383.058861</x:v>
      </x:c>
      <x:c r="N117" s="15" t="n">
        <x:v>1.6554127641036729</x:v>
      </x:c>
      <x:c r="O117" s="15" t="n">
        <x:v>158781.58</x:v>
      </x:c>
      <x:c r="P117" s="15" t="n">
        <x:v>722952.62781</x:v>
      </x:c>
      <x:c r="Q117" s="15" t="n">
        <x:v>5085</x:v>
      </x:c>
      <x:c r="R117" s="15" t="n">
        <x:v>9.10330019798935</x:v>
      </x:c>
      <x:c r="S117" s="15" t="n">
        <x:v>0.17632797002424816</x:v>
      </x:c>
      <x:c r="T117" s="15" t="n">
        <x:v>-0.0199939706343244</x:v>
      </x:c>
      <x:c r="U117" s="15" t="n">
        <x:v>0.130804447351196</x:v>
      </x:c>
    </x:row>
    <x:row r="118">
      <x:c r="A118" s="13" t="str">
        <x:v>all_360</x:v>
      </x:c>
      <x:c r="B118" s="36" t="n">
        <x:v>45919.666666666664</x:v>
      </x:c>
      <x:c r="C118" s="36" t="n">
        <x:v>45919.75</x:v>
      </x:c>
      <x:c r="D118" s="15" t="n">
        <x:v>24010.838154999998</x:v>
      </x:c>
      <x:c r="E118" s="15" t="n">
        <x:v>33720.142704</x:v>
      </x:c>
      <x:c r="F118" s="15" t="n">
        <x:v>57730.980858999996</x:v>
      </x:c>
      <x:c r="G118" s="15" t="n">
        <x:v>-9709.304549</x:v>
      </x:c>
      <x:c r="H118" s="15" t="n">
        <x:v>121638.09028799999</x:v>
      </x:c>
      <x:c r="I118" s="15" t="n">
        <x:v>145648.92844299998</x:v>
      </x:c>
      <x:c r="J118" s="15" t="n">
        <x:v>7936.019883</x:v>
      </x:c>
      <x:c r="K118" s="15" t="n">
        <x:v>6259.286113</x:v>
      </x:c>
      <x:c r="L118" s="15" t="n">
        <x:v>14195.305996</x:v>
      </x:c>
      <x:c r="M118" s="15" t="n">
        <x:v>1676.7337699999998</x:v>
      </x:c>
      <x:c r="N118" s="15" t="n">
        <x:v>1.2975588299978045</x:v>
      </x:c>
      <x:c r="O118" s="15" t="n">
        <x:v>111228.9</x:v>
      </x:c>
      <x:c r="P118" s="15" t="n">
        <x:v>503049.90041</x:v>
      </x:c>
      <x:c r="Q118" s="15" t="n">
        <x:v>3144</x:v>
      </x:c>
      <x:c r="R118" s="15" t="n">
        <x:v>6.796604656275562</x:v>
      </x:c>
      <x:c r="S118" s="15" t="n">
        <x:v>0.17609509134932644</x:v>
      </x:c>
      <x:c r="T118" s="15" t="n">
        <x:v>0</x:v>
      </x:c>
      <x:c r="U118" s="15" t="n">
        <x:v>0.13291980505095724</x:v>
      </x:c>
    </x:row>
    <x:row r="119">
      <x:c r="A119" s="13" t="str">
        <x:v>all_360</x:v>
      </x:c>
      <x:c r="B119" s="36" t="n">
        <x:v>45919.75</x:v>
      </x:c>
      <x:c r="C119" s="36" t="n">
        <x:v>45919.833333333336</x:v>
      </x:c>
      <x:c r="D119" s="15" t="n">
        <x:v>19134.870053</x:v>
      </x:c>
      <x:c r="E119" s="15" t="n">
        <x:v>19242.444458</x:v>
      </x:c>
      <x:c r="F119" s="15" t="n">
        <x:v>38377.314511000004</x:v>
      </x:c>
      <x:c r="G119" s="15" t="n">
        <x:v>-107.57440500000303</x:v>
      </x:c>
      <x:c r="H119" s="15" t="n">
        <x:v>86458.050987</x:v>
      </x:c>
      <x:c r="I119" s="15" t="n">
        <x:v>105592.92103999999</x:v>
      </x:c>
      <x:c r="J119" s="15" t="n">
        <x:v>7064.357782</x:v>
      </x:c>
      <x:c r="K119" s="15" t="n">
        <x:v>9189.706344</x:v>
      </x:c>
      <x:c r="L119" s="15" t="n">
        <x:v>16254.064126000001</x:v>
      </x:c>
      <x:c r="M119" s="15" t="n">
        <x:v>-2125.348562</x:v>
      </x:c>
      <x:c r="N119" s="15" t="n">
        <x:v>0.933955970647094</x:v>
      </x:c>
      <x:c r="O119" s="15" t="n">
        <x:v>117662.54</x:v>
      </x:c>
      <x:c r="P119" s="15" t="n">
        <x:v>529466.94709</x:v>
      </x:c>
      <x:c r="Q119" s="15" t="n">
        <x:v>2953</x:v>
      </x:c>
      <x:c r="R119" s="15" t="n">
        <x:v>6.221782551738575</x:v>
      </x:c>
      <x:c r="S119" s="15" t="n">
        <x:v>0.1776198934280493</x:v>
      </x:c>
      <x:c r="T119" s="15" t="n">
        <x:v>-0.022296544035671495</x:v>
      </x:c>
      <x:c r="U119" s="15" t="n">
        <x:v>0.13342228152102287</x:v>
      </x:c>
    </x:row>
    <x:row r="120">
      <x:c r="A120" s="13" t="str">
        <x:v>all_360</x:v>
      </x:c>
      <x:c r="B120" s="36" t="n">
        <x:v>45919.833333333336</x:v>
      </x:c>
      <x:c r="C120" s="36" t="n">
        <x:v>45919.916666666664</x:v>
      </x:c>
      <x:c r="D120" s="15" t="n">
        <x:v>20844.133979000002</x:v>
      </x:c>
      <x:c r="E120" s="15" t="n">
        <x:v>18013.333298</x:v>
      </x:c>
      <x:c r="F120" s="15" t="n">
        <x:v>38857.467277</x:v>
      </x:c>
      <x:c r="G120" s="15" t="n">
        <x:v>2830.8006810000006</x:v>
      </x:c>
      <x:c r="H120" s="15" t="n">
        <x:v>65651.253392</x:v>
      </x:c>
      <x:c r="I120" s="15" t="n">
        <x:v>86495.387371</x:v>
      </x:c>
      <x:c r="J120" s="15" t="n">
        <x:v>10137.345301</x:v>
      </x:c>
      <x:c r="K120" s="15" t="n">
        <x:v>13832.753524</x:v>
      </x:c>
      <x:c r="L120" s="15" t="n">
        <x:v>23970.098825</x:v>
      </x:c>
      <x:c r="M120" s="15" t="n">
        <x:v>-3695.4082230000004</x:v>
      </x:c>
      <x:c r="N120" s="15" t="n">
        <x:v>0.7120605251446379</x:v>
      </x:c>
      <x:c r="O120" s="15" t="n">
        <x:v>74814.33</x:v>
      </x:c>
      <x:c r="P120" s="15" t="n">
        <x:v>336326.62498</x:v>
      </x:c>
      <x:c r="Q120" s="15" t="n">
        <x:v>2203</x:v>
      </x:c>
      <x:c r="R120" s="15" t="n">
        <x:v>4.536782984201815</x:v>
      </x:c>
      <x:c r="S120" s="15" t="n">
        <x:v>0.20000000000001128</x:v>
      </x:c>
      <x:c r="T120" s="15" t="n">
        <x:v>-0.02356626666648598</x:v>
      </x:c>
      <x:c r="U120" s="15" t="n">
        <x:v>0.13351134846461</x:v>
      </x:c>
    </x:row>
    <x:row r="121">
      <x:c r="A121" s="13" t="str">
        <x:v>all_360</x:v>
      </x:c>
      <x:c r="B121" s="36" t="n">
        <x:v>45919.916666666664</x:v>
      </x:c>
      <x:c r="C121" s="36" t="n">
        <x:v>45920</x:v>
      </x:c>
      <x:c r="D121" s="15" t="n">
        <x:v>19877.947773</x:v>
      </x:c>
      <x:c r="E121" s="15" t="n">
        <x:v>19788.135728999998</x:v>
      </x:c>
      <x:c r="F121" s="15" t="n">
        <x:v>39666.083501999994</x:v>
      </x:c>
      <x:c r="G121" s="15" t="n">
        <x:v>89.81204400000206</x:v>
      </x:c>
      <x:c r="H121" s="15" t="n">
        <x:v>73475.892675</x:v>
      </x:c>
      <x:c r="I121" s="15" t="n">
        <x:v>93353.840448</x:v>
      </x:c>
      <x:c r="J121" s="15" t="n">
        <x:v>1462.069894</x:v>
      </x:c>
      <x:c r="K121" s="15" t="n">
        <x:v>8062.707539</x:v>
      </x:c>
      <x:c r="L121" s="15" t="n">
        <x:v>9524.777433</x:v>
      </x:c>
      <x:c r="M121" s="15" t="n">
        <x:v>-6600.637645</x:v>
      </x:c>
      <x:c r="N121" s="15" t="n">
        <x:v>1.243891603731676</x:v>
      </x:c>
      <x:c r="O121" s="15" t="n">
        <x:v>83238.63</x:v>
      </x:c>
      <x:c r="P121" s="15" t="n">
        <x:v>372242.36321</x:v>
      </x:c>
      <x:c r="Q121" s="15" t="n">
        <x:v>2508</x:v>
      </x:c>
      <x:c r="R121" s="15" t="n">
        <x:v>3.996193850550278</x:v>
      </x:c>
      <x:c r="S121" s="15" t="n">
        <x:v>0.15673981191224318</x:v>
      </x:c>
      <x:c r="T121" s="15" t="n">
        <x:v>-0.022416498542909835</x:v>
      </x:c>
      <x:c r="U121" s="15" t="n">
        <x:v>0.13428827215756778</x:v>
      </x:c>
    </x:row>
    <x:row r="122">
      <x:c r="A122" s="13" t="str">
        <x:v>all_360</x:v>
      </x:c>
      <x:c r="B122" s="36" t="n">
        <x:v>45920</x:v>
      </x:c>
      <x:c r="C122" s="36" t="n">
        <x:v>45920.083333333336</x:v>
      </x:c>
      <x:c r="D122" s="15" t="n">
        <x:v>39207.855829</x:v>
      </x:c>
      <x:c r="E122" s="15" t="n">
        <x:v>39213.260419</x:v>
      </x:c>
      <x:c r="F122" s="15" t="n">
        <x:v>78421.116248</x:v>
      </x:c>
      <x:c r="G122" s="15" t="n">
        <x:v>-5.404589999998279</x:v>
      </x:c>
      <x:c r="H122" s="15" t="n">
        <x:v>124819.341373</x:v>
      </x:c>
      <x:c r="I122" s="15" t="n">
        <x:v>164027.197202</x:v>
      </x:c>
      <x:c r="J122" s="15" t="n">
        <x:v>2635.6969520000002</x:v>
      </x:c>
      <x:c r="K122" s="15" t="n">
        <x:v>14856.618308</x:v>
      </x:c>
      <x:c r="L122" s="15" t="n">
        <x:v>17492.31526</x:v>
      </x:c>
      <x:c r="M122" s="15" t="n">
        <x:v>-12220.921355999999</x:v>
      </x:c>
      <x:c r="N122" s="15" t="n">
        <x:v>0.737265415549606</x:v>
      </x:c>
      <x:c r="O122" s="15" t="n">
        <x:v>72573.47</x:v>
      </x:c>
      <x:c r="P122" s="15" t="n">
        <x:v>325248.07627</x:v>
      </x:c>
      <x:c r="Q122" s="15" t="n">
        <x:v>2538</x:v>
      </x:c>
      <x:c r="R122" s="15" t="n">
        <x:v>4.708545788022955</x:v>
      </x:c>
      <x:c r="S122" s="15" t="n">
        <x:v>0.1782928459995503</x:v>
      </x:c>
      <x:c r="T122" s="15" t="n">
        <x:v>-0.0216546322246991</x:v>
      </x:c>
      <x:c r="U122" s="15" t="n">
        <x:v>0.20111731843573954</x:v>
      </x:c>
    </x:row>
    <x:row r="123">
      <x:c r="A123" s="13" t="str">
        <x:v>all_360</x:v>
      </x:c>
      <x:c r="B123" s="36" t="n">
        <x:v>45920.083333333336</x:v>
      </x:c>
      <x:c r="C123" s="36" t="n">
        <x:v>45920.166666666664</x:v>
      </x:c>
      <x:c r="D123" s="15" t="n">
        <x:v>19329.088459</x:v>
      </x:c>
      <x:c r="E123" s="15" t="n">
        <x:v>19617.55704</x:v>
      </x:c>
      <x:c r="F123" s="15" t="n">
        <x:v>38946.645499</x:v>
      </x:c>
      <x:c r="G123" s="15" t="n">
        <x:v>-288.468581000001</x:v>
      </x:c>
      <x:c r="H123" s="15" t="n">
        <x:v>127684.060221</x:v>
      </x:c>
      <x:c r="I123" s="15" t="n">
        <x:v>147013.14868</x:v>
      </x:c>
      <x:c r="J123" s="15" t="n">
        <x:v>2832.706631</x:v>
      </x:c>
      <x:c r="K123" s="15" t="n">
        <x:v>6978.046647</x:v>
      </x:c>
      <x:c r="L123" s="15" t="n">
        <x:v>9810.753278</x:v>
      </x:c>
      <x:c r="M123" s="15" t="n">
        <x:v>-4145.340016</x:v>
      </x:c>
      <x:c r="N123" s="15" t="n">
        <x:v>1.1614920705829905</x:v>
      </x:c>
      <x:c r="O123" s="15" t="n">
        <x:v>143201.09</x:v>
      </x:c>
      <x:c r="P123" s="15" t="n">
        <x:v>636746.56948</x:v>
      </x:c>
      <x:c r="Q123" s="15" t="n">
        <x:v>3061</x:v>
      </x:c>
      <x:c r="R123" s="15" t="n">
        <x:v>5.162746888961234</x:v>
      </x:c>
      <x:c r="S123" s="15" t="n">
        <x:v>0.2026114362899678</x:v>
      </x:c>
      <x:c r="T123" s="15" t="n">
        <x:v>0.002727526596957297</x:v>
      </x:c>
      <x:c r="U123" s="15" t="n">
        <x:v>0.1571268237934853</x:v>
      </x:c>
    </x:row>
    <x:row r="124">
      <x:c r="A124" s="13" t="str">
        <x:v>all_360</x:v>
      </x:c>
      <x:c r="B124" s="36" t="n">
        <x:v>45920.166666666664</x:v>
      </x:c>
      <x:c r="C124" s="36" t="n">
        <x:v>45920.25</x:v>
      </x:c>
      <x:c r="D124" s="15" t="n">
        <x:v>25136.826612</x:v>
      </x:c>
      <x:c r="E124" s="15" t="n">
        <x:v>25592.323214</x:v>
      </x:c>
      <x:c r="F124" s="15" t="n">
        <x:v>50729.149826</x:v>
      </x:c>
      <x:c r="G124" s="15" t="n">
        <x:v>-455.49660199999926</x:v>
      </x:c>
      <x:c r="H124" s="15" t="n">
        <x:v>98701.128729</x:v>
      </x:c>
      <x:c r="I124" s="15" t="n">
        <x:v>123837.95534100001</x:v>
      </x:c>
      <x:c r="J124" s="15" t="n">
        <x:v>8354.014625</x:v>
      </x:c>
      <x:c r="K124" s="15" t="n">
        <x:v>7417.91399</x:v>
      </x:c>
      <x:c r="L124" s="15" t="n">
        <x:v>15771.928615</x:v>
      </x:c>
      <x:c r="M124" s="15" t="n">
        <x:v>936.1006349999998</x:v>
      </x:c>
      <x:c r="N124" s="15" t="n">
        <x:v>0.7390817469205008</x:v>
      </x:c>
      <x:c r="O124" s="15" t="n">
        <x:v>81187.16</x:v>
      </x:c>
      <x:c r="P124" s="15" t="n">
        <x:v>363173.9584</x:v>
      </x:c>
      <x:c r="Q124" s="15" t="n">
        <x:v>1792</x:v>
      </x:c>
      <x:c r="R124" s="15" t="n">
        <x:v>3.9143425079019467</x:v>
      </x:c>
      <x:c r="S124" s="15" t="n">
        <x:v>0.1786511835640936</x:v>
      </x:c>
      <x:c r="T124" s="15" t="n">
        <x:v>-0.004643919519264905</x:v>
      </x:c>
      <x:c r="U124" s="15" t="n">
        <x:v>0.1567047235280894</x:v>
      </x:c>
    </x:row>
    <x:row r="125">
      <x:c r="A125" s="13" t="str">
        <x:v>all_360</x:v>
      </x:c>
      <x:c r="B125" s="36" t="n">
        <x:v>45920.25</x:v>
      </x:c>
      <x:c r="C125" s="36" t="n">
        <x:v>45920.333333333336</x:v>
      </x:c>
      <x:c r="D125" s="15" t="n">
        <x:v>17329.411855000002</x:v>
      </x:c>
      <x:c r="E125" s="15" t="n">
        <x:v>19342.75474</x:v>
      </x:c>
      <x:c r="F125" s="15" t="n">
        <x:v>36672.166595</x:v>
      </x:c>
      <x:c r="G125" s="15" t="n">
        <x:v>-2013.3428849999982</x:v>
      </x:c>
      <x:c r="H125" s="15" t="n">
        <x:v>38507.842238</x:v>
      </x:c>
      <x:c r="I125" s="15" t="n">
        <x:v>55837.254092999996</x:v>
      </x:c>
      <x:c r="J125" s="15" t="n">
        <x:v>2981.700009</x:v>
      </x:c>
      <x:c r="K125" s="15" t="n">
        <x:v>2387.374865</x:v>
      </x:c>
      <x:c r="L125" s="15" t="n">
        <x:v>5369.074874</x:v>
      </x:c>
      <x:c r="M125" s="15" t="n">
        <x:v>594.3251439999999</x:v>
      </x:c>
      <x:c r="N125" s="15" t="n">
        <x:v>0.6688963210702397</x:v>
      </x:c>
      <x:c r="O125" s="15" t="n">
        <x:v>56062.64</x:v>
      </x:c>
      <x:c r="P125" s="15" t="n">
        <x:v>251354.33108</x:v>
      </x:c>
      <x:c r="Q125" s="15" t="n">
        <x:v>1466</x:v>
      </x:c>
      <x:c r="R125" s="15" t="n">
        <x:v>4.103873531986801</x:v>
      </x:c>
      <x:c r="S125" s="15" t="n">
        <x:v>0.17797552836484876</x:v>
      </x:c>
      <x:c r="T125" s="15" t="n">
        <x:v>-0.022321428571414614</x:v>
      </x:c>
      <x:c r="U125" s="15" t="n">
        <x:v>0.1557285873192371</x:v>
      </x:c>
    </x:row>
    <x:row r="126">
      <x:c r="A126" s="13" t="str">
        <x:v>all_360</x:v>
      </x:c>
      <x:c r="B126" s="36" t="n">
        <x:v>45920.333333333336</x:v>
      </x:c>
      <x:c r="C126" s="36" t="n">
        <x:v>45920.416666666664</x:v>
      </x:c>
      <x:c r="D126" s="15" t="n">
        <x:v>16502.688725</x:v>
      </x:c>
      <x:c r="E126" s="15" t="n">
        <x:v>16808.822594</x:v>
      </x:c>
      <x:c r="F126" s="15" t="n">
        <x:v>33311.511319</x:v>
      </x:c>
      <x:c r="G126" s="15" t="n">
        <x:v>-306.13386900000114</x:v>
      </x:c>
      <x:c r="H126" s="15" t="n">
        <x:v>77980.618773</x:v>
      </x:c>
      <x:c r="I126" s="15" t="n">
        <x:v>94483.307498</x:v>
      </x:c>
      <x:c r="J126" s="15" t="n">
        <x:v>19104.193934</x:v>
      </x:c>
      <x:c r="K126" s="15" t="n">
        <x:v>24343.783406000002</x:v>
      </x:c>
      <x:c r="L126" s="15" t="n">
        <x:v>43447.97734</x:v>
      </x:c>
      <x:c r="M126" s="15" t="n">
        <x:v>-5239.589472000003</x:v>
      </x:c>
      <x:c r="N126" s="15" t="n">
        <x:v>1.1568409343715347</x:v>
      </x:c>
      <x:c r="O126" s="15" t="n">
        <x:v>62992.78</x:v>
      </x:c>
      <x:c r="P126" s="15" t="n">
        <x:v>281108.22888999997</x:v>
      </x:c>
      <x:c r="Q126" s="15" t="n">
        <x:v>1757</x:v>
      </x:c>
      <x:c r="R126" s="15" t="n">
        <x:v>4.320090152104594</x:v>
      </x:c>
      <x:c r="S126" s="15" t="n">
        <x:v>0.2002224694104604</x:v>
      </x:c>
      <x:c r="T126" s="15" t="n">
        <x:v>0</x:v>
      </x:c>
      <x:c r="U126" s="15" t="n">
        <x:v>0.1345895020188448</x:v>
      </x:c>
    </x:row>
    <x:row r="127">
      <x:c r="A127" s="13" t="str">
        <x:v>all_360</x:v>
      </x:c>
      <x:c r="B127" s="36" t="n">
        <x:v>45920.416666666664</x:v>
      </x:c>
      <x:c r="C127" s="36" t="n">
        <x:v>45920.5</x:v>
      </x:c>
      <x:c r="D127" s="15" t="n">
        <x:v>13626.397405</x:v>
      </x:c>
      <x:c r="E127" s="15" t="n">
        <x:v>13411.85299</x:v>
      </x:c>
      <x:c r="F127" s="15" t="n">
        <x:v>27038.250395</x:v>
      </x:c>
      <x:c r="G127" s="15" t="n">
        <x:v>214.5444150000003</x:v>
      </x:c>
      <x:c r="H127" s="15" t="n">
        <x:v>73676.408277</x:v>
      </x:c>
      <x:c r="I127" s="15" t="n">
        <x:v>87302.80568199999</x:v>
      </x:c>
      <x:c r="J127" s="15" t="n">
        <x:v>86200.780076</x:v>
      </x:c>
      <x:c r="K127" s="15" t="n">
        <x:v>4853.3390229999995</x:v>
      </x:c>
      <x:c r="L127" s="15" t="n">
        <x:v>91054.11909899999</x:v>
      </x:c>
      <x:c r="M127" s="15" t="n">
        <x:v>81347.441053</x:v>
      </x:c>
      <x:c r="N127" s="15" t="n">
        <x:v>0.5617977528089768</x:v>
      </x:c>
      <x:c r="O127" s="15" t="n">
        <x:v>64635.8</x:v>
      </x:c>
      <x:c r="P127" s="15" t="n">
        <x:v>287524.3867</x:v>
      </x:c>
      <x:c r="Q127" s="15" t="n">
        <x:v>1736</x:v>
      </x:c>
      <x:c r="R127" s="15" t="n">
        <x:v>4.404295119668378</x:v>
      </x:c>
      <x:c r="S127" s="15" t="n">
        <x:v>0.15730337078653234</x:v>
      </x:c>
      <x:c r="T127" s="15" t="n">
        <x:v>-0.044007683343849635</x:v>
      </x:c>
      <x:c r="U127" s="15" t="n">
        <x:v>0.13495276653170407</x:v>
      </x:c>
    </x:row>
    <x:row r="128">
      <x:c r="A128" s="13" t="str">
        <x:v>all_360</x:v>
      </x:c>
      <x:c r="B128" s="36" t="n">
        <x:v>45920.5</x:v>
      </x:c>
      <x:c r="C128" s="36" t="n">
        <x:v>45920.583333333336</x:v>
      </x:c>
      <x:c r="D128" s="15" t="n">
        <x:v>12263.309772</x:v>
      </x:c>
      <x:c r="E128" s="15" t="n">
        <x:v>10028.70775</x:v>
      </x:c>
      <x:c r="F128" s="15" t="n">
        <x:v>22292.017522000002</x:v>
      </x:c>
      <x:c r="G128" s="15" t="n">
        <x:v>2234.602022000001</x:v>
      </x:c>
      <x:c r="H128" s="15" t="n">
        <x:v>110793.182203</x:v>
      </x:c>
      <x:c r="I128" s="15" t="n">
        <x:v>123056.49197500001</x:v>
      </x:c>
      <x:c r="J128" s="15" t="n">
        <x:v>2962.0309859999998</x:v>
      </x:c>
      <x:c r="K128" s="15" t="n">
        <x:v>8805.945347</x:v>
      </x:c>
      <x:c r="L128" s="15" t="n">
        <x:v>11767.976333</x:v>
      </x:c>
      <x:c r="M128" s="15" t="n">
        <x:v>-5843.914361000001</x:v>
      </x:c>
      <x:c r="N128" s="15" t="n">
        <x:v>0.4262000897263375</x:v>
      </x:c>
      <x:c r="O128" s="15" t="n">
        <x:v>85347.93</x:v>
      </x:c>
      <x:c r="P128" s="15" t="n">
        <x:v>379850.01693</x:v>
      </x:c>
      <x:c r="Q128" s="15" t="n">
        <x:v>2013</x:v>
      </x:c>
      <x:c r="R128" s="15" t="n">
        <x:v>4.357796873950437</x:v>
      </x:c>
      <x:c r="S128" s="15" t="n">
        <x:v>0.17965416573096915</x:v>
      </x:c>
      <x:c r="T128" s="15" t="n">
        <x:v>-0.03985911102677431</x:v>
      </x:c>
      <x:c r="U128" s="15" t="n">
        <x:v>0.13468013468014295</x:v>
      </x:c>
    </x:row>
    <x:row r="129">
      <x:c r="A129" s="13" t="str">
        <x:v>all_360</x:v>
      </x:c>
      <x:c r="B129" s="36" t="n">
        <x:v>45920.583333333336</x:v>
      </x:c>
      <x:c r="C129" s="36" t="n">
        <x:v>45920.666666666664</x:v>
      </x:c>
      <x:c r="D129" s="15" t="n">
        <x:v>64039.87216</x:v>
      </x:c>
      <x:c r="E129" s="15" t="n">
        <x:v>76885.74523</x:v>
      </x:c>
      <x:c r="F129" s="15" t="n">
        <x:v>140925.61739</x:v>
      </x:c>
      <x:c r="G129" s="15" t="n">
        <x:v>-12845.873070000001</x:v>
      </x:c>
      <x:c r="H129" s="15" t="n">
        <x:v>196168.514006</x:v>
      </x:c>
      <x:c r="I129" s="15" t="n">
        <x:v>260208.386166</x:v>
      </x:c>
      <x:c r="J129" s="15" t="n">
        <x:v>11920.790085999999</x:v>
      </x:c>
      <x:c r="K129" s="15" t="n">
        <x:v>7888.841102</x:v>
      </x:c>
      <x:c r="L129" s="15" t="n">
        <x:v>19809.631188</x:v>
      </x:c>
      <x:c r="M129" s="15" t="n">
        <x:v>4031.9489839999987</x:v>
      </x:c>
      <x:c r="N129" s="15" t="n">
        <x:v>1.7776777677767717</x:v>
      </x:c>
      <x:c r="O129" s="15" t="n">
        <x:v>152935.04</x:v>
      </x:c>
      <x:c r="P129" s="15" t="n">
        <x:v>682187.50077</x:v>
      </x:c>
      <x:c r="Q129" s="15" t="n">
        <x:v>3672</x:v>
      </x:c>
      <x:c r="R129" s="15" t="n">
        <x:v>5.933450778099059</x:v>
      </x:c>
      <x:c r="S129" s="15" t="n">
        <x:v>0.15597147950090484</x:v>
      </x:c>
      <x:c r="T129" s="15" t="n">
        <x:v>-0.02237637055269026</x:v>
      </x:c>
      <x:c r="U129" s="15" t="n">
        <x:v>0.1576576576576727</x:v>
      </x:c>
    </x:row>
    <x:row r="130">
      <x:c r="A130" s="13" t="str">
        <x:v>all_360</x:v>
      </x:c>
      <x:c r="B130" s="36" t="n">
        <x:v>45920.666666666664</x:v>
      </x:c>
      <x:c r="C130" s="36" t="n">
        <x:v>45920.75</x:v>
      </x:c>
      <x:c r="D130" s="15" t="n">
        <x:v>140369.363288</x:v>
      </x:c>
      <x:c r="E130" s="15" t="n">
        <x:v>141272.100644</x:v>
      </x:c>
      <x:c r="F130" s="15" t="n">
        <x:v>281641.463932</x:v>
      </x:c>
      <x:c r="G130" s="15" t="n">
        <x:v>-902.7373559999978</x:v>
      </x:c>
      <x:c r="H130" s="15" t="n">
        <x:v>57874.145267</x:v>
      </x:c>
      <x:c r="I130" s="15" t="n">
        <x:v>198243.508555</x:v>
      </x:c>
      <x:c r="J130" s="15" t="n">
        <x:v>4683.632096</x:v>
      </x:c>
      <x:c r="K130" s="15" t="n">
        <x:v>7808.395654</x:v>
      </x:c>
      <x:c r="L130" s="15" t="n">
        <x:v>12492.027750000001</x:v>
      </x:c>
      <x:c r="M130" s="15" t="n">
        <x:v>-3124.7635579999996</x:v>
      </x:c>
      <x:c r="N130" s="15" t="n">
        <x:v>0.7142857142857149</x:v>
      </x:c>
      <x:c r="O130" s="15" t="n">
        <x:v>71007.26</x:v>
      </x:c>
      <x:c r="P130" s="15" t="n">
        <x:v>317259.81333</x:v>
      </x:c>
      <x:c r="Q130" s="15" t="n">
        <x:v>2022</x:v>
      </x:c>
      <x:c r="R130" s="15" t="n">
        <x:v>4.811420810885547</x:v>
      </x:c>
      <x:c r="S130" s="15" t="n">
        <x:v>0.156880322725228</x:v>
      </x:c>
      <x:c r="T130" s="15" t="n">
        <x:v>-0.02237637055269026</x:v>
      </x:c>
      <x:c r="U130" s="15" t="n">
        <x:v>0.15695067264572815</x:v>
      </x:c>
    </x:row>
    <x:row r="131">
      <x:c r="A131" s="13" t="str">
        <x:v>all_360</x:v>
      </x:c>
      <x:c r="B131" s="36" t="n">
        <x:v>45920.75</x:v>
      </x:c>
      <x:c r="C131" s="36" t="n">
        <x:v>45920.833333333336</x:v>
      </x:c>
      <x:c r="D131" s="15" t="n">
        <x:v>10334.064103</x:v>
      </x:c>
      <x:c r="E131" s="15" t="n">
        <x:v>11150.505052</x:v>
      </x:c>
      <x:c r="F131" s="15" t="n">
        <x:v>21484.569155</x:v>
      </x:c>
      <x:c r="G131" s="15" t="n">
        <x:v>-816.4409489999998</x:v>
      </x:c>
      <x:c r="H131" s="15" t="n">
        <x:v>87875.475143</x:v>
      </x:c>
      <x:c r="I131" s="15" t="n">
        <x:v>98209.539246</x:v>
      </x:c>
      <x:c r="J131" s="15" t="n">
        <x:v>8821.615738999999</x:v>
      </x:c>
      <x:c r="K131" s="15" t="n">
        <x:v>8777.835663</x:v>
      </x:c>
      <x:c r="L131" s="15" t="n">
        <x:v>17599.451402</x:v>
      </x:c>
      <x:c r="M131" s="15" t="n">
        <x:v>43.7800759999991</x:v>
      </x:c>
      <x:c r="N131" s="15" t="n">
        <x:v>0.5383580080753706</x:v>
      </x:c>
      <x:c r="O131" s="15" t="n">
        <x:v>54884.04</x:v>
      </x:c>
      <x:c r="P131" s="15" t="n">
        <x:v>243898.18248</x:v>
      </x:c>
      <x:c r="Q131" s="15" t="n">
        <x:v>1893</x:v>
      </x:c>
      <x:c r="R131" s="15" t="n">
        <x:v>4.926770331088082</x:v>
      </x:c>
      <x:c r="S131" s="15" t="n">
        <x:v>0.15748031496064518</x:v>
      </x:c>
      <x:c r="T131" s="15" t="n">
        <x:v>-0.008326966421945414</x:v>
      </x:c>
      <x:c r="U131" s="15" t="n">
        <x:v>0.13507429085998224</x:v>
      </x:c>
    </x:row>
    <x:row r="132">
      <x:c r="A132" s="13" t="str">
        <x:v>all_360</x:v>
      </x:c>
      <x:c r="B132" s="36" t="n">
        <x:v>45920.833333333336</x:v>
      </x:c>
      <x:c r="C132" s="36" t="n">
        <x:v>45920.916666666664</x:v>
      </x:c>
      <x:c r="D132" s="15" t="n">
        <x:v>15506.717102</x:v>
      </x:c>
      <x:c r="E132" s="15" t="n">
        <x:v>16367.038933</x:v>
      </x:c>
      <x:c r="F132" s="15" t="n">
        <x:v>31873.756035</x:v>
      </x:c>
      <x:c r="G132" s="15" t="n">
        <x:v>-860.3218309999993</x:v>
      </x:c>
      <x:c r="H132" s="15" t="n">
        <x:v>46699.834188</x:v>
      </x:c>
      <x:c r="I132" s="15" t="n">
        <x:v>62206.55129</x:v>
      </x:c>
      <x:c r="J132" s="15" t="n">
        <x:v>17464.290554</x:v>
      </x:c>
      <x:c r="K132" s="15" t="n">
        <x:v>12900.927010000001</x:v>
      </x:c>
      <x:c r="L132" s="15" t="n">
        <x:v>30365.217564</x:v>
      </x:c>
      <x:c r="M132" s="15" t="n">
        <x:v>4563.363543999998</x:v>
      </x:c>
      <x:c r="N132" s="15" t="n">
        <x:v>1.1494252873563053</x:v>
      </x:c>
      <x:c r="O132" s="15" t="n">
        <x:v>71392.03</x:v>
      </x:c>
      <x:c r="P132" s="15" t="n">
        <x:v>318872.16627</x:v>
      </x:c>
      <x:c r="Q132" s="15" t="n">
        <x:v>1949</x:v>
      </x:c>
      <x:c r="R132" s="15" t="n">
        <x:v>4.145146240818365</x:v>
      </x:c>
      <x:c r="S132" s="15" t="n">
        <x:v>0.13489208633093996</x:v>
      </x:c>
      <x:c r="T132" s="15" t="n">
        <x:v>-0.02047642664400051</x:v>
      </x:c>
      <x:c r="U132" s="15" t="n">
        <x:v>0.1573387278039906</x:v>
      </x:c>
    </x:row>
    <x:row r="133">
      <x:c r="A133" s="13" t="str">
        <x:v>all_360</x:v>
      </x:c>
      <x:c r="B133" s="36" t="n">
        <x:v>45920.916666666664</x:v>
      </x:c>
      <x:c r="C133" s="36" t="n">
        <x:v>45921</x:v>
      </x:c>
      <x:c r="D133" s="15" t="n">
        <x:v>30148.047956</x:v>
      </x:c>
      <x:c r="E133" s="15" t="n">
        <x:v>29990.206813</x:v>
      </x:c>
      <x:c r="F133" s="15" t="n">
        <x:v>60138.254769</x:v>
      </x:c>
      <x:c r="G133" s="15" t="n">
        <x:v>157.84114299999783</x:v>
      </x:c>
      <x:c r="H133" s="15" t="n">
        <x:v>75279.30075</x:v>
      </x:c>
      <x:c r="I133" s="15" t="n">
        <x:v>105427.34870599999</x:v>
      </x:c>
      <x:c r="J133" s="15" t="n">
        <x:v>1145.468545</x:v>
      </x:c>
      <x:c r="K133" s="15" t="n">
        <x:v>1899.287536</x:v>
      </x:c>
      <x:c r="L133" s="15" t="n">
        <x:v>3044.756081</x:v>
      </x:c>
      <x:c r="M133" s="15" t="n">
        <x:v>-753.8189910000001</x:v>
      </x:c>
      <x:c r="N133" s="15" t="n">
        <x:v>0.6268188941123902</x:v>
      </x:c>
      <x:c r="O133" s="15" t="n">
        <x:v>24814.82</x:v>
      </x:c>
      <x:c r="P133" s="15" t="n">
        <x:v>110495.68279</x:v>
      </x:c>
      <x:c r="Q133" s="15" t="n">
        <x:v>965</x:v>
      </x:c>
      <x:c r="R133" s="15" t="n">
        <x:v>3.479188077474027</x:v>
      </x:c>
      <x:c r="S133" s="15" t="n">
        <x:v>0.11241007194245922</x:v>
      </x:c>
      <x:c r="T133" s="15" t="n">
        <x:v>-0.01982029537561658</x:v>
      </x:c>
      <x:c r="U133" s="15" t="n">
        <x:v>0.1123090745732247</x:v>
      </x:c>
    </x:row>
    <x:row r="134">
      <x:c r="A134" s="13" t="str">
        <x:v>all_360</x:v>
      </x:c>
      <x:c r="B134" s="36" t="n">
        <x:v>45921</x:v>
      </x:c>
      <x:c r="C134" s="36" t="n">
        <x:v>45921.083333333336</x:v>
      </x:c>
      <x:c r="D134" s="15" t="n">
        <x:v>12407.563156</x:v>
      </x:c>
      <x:c r="E134" s="15" t="n">
        <x:v>12329.285986</x:v>
      </x:c>
      <x:c r="F134" s="15" t="n">
        <x:v>24736.849142</x:v>
      </x:c>
      <x:c r="G134" s="15" t="n">
        <x:v>78.27716999999939</x:v>
      </x:c>
      <x:c r="H134" s="15" t="n">
        <x:v>39214.267024</x:v>
      </x:c>
      <x:c r="I134" s="15" t="n">
        <x:v>51621.830180000004</x:v>
      </x:c>
      <x:c r="J134" s="15" t="n">
        <x:v>1904.321418</x:v>
      </x:c>
      <x:c r="K134" s="15" t="n">
        <x:v>2385.806067</x:v>
      </x:c>
      <x:c r="L134" s="15" t="n">
        <x:v>4290.127485</x:v>
      </x:c>
      <x:c r="M134" s="15" t="n">
        <x:v>-481.484649</x:v>
      </x:c>
      <x:c r="N134" s="15" t="n">
        <x:v>0.651392632524726</x:v>
      </x:c>
      <x:c r="O134" s="15" t="n">
        <x:v>100002.16</x:v>
      </x:c>
      <x:c r="P134" s="15" t="n">
        <x:v>445449.30942</x:v>
      </x:c>
      <x:c r="Q134" s="15" t="n">
        <x:v>1978</x:v>
      </x:c>
      <x:c r="R134" s="15" t="n">
        <x:v>4.128348400424864</x:v>
      </x:c>
      <x:c r="S134" s="15" t="n">
        <x:v>0.13468013468014295</x:v>
      </x:c>
      <x:c r="T134" s="15" t="n">
        <x:v>0.0004818955864682728</x:v>
      </x:c>
      <x:c r="U134" s="15" t="n">
        <x:v>0.1123090745732247</x:v>
      </x:c>
    </x:row>
    <x:row r="135">
      <x:c r="A135" s="13" t="str">
        <x:v>all_360</x:v>
      </x:c>
      <x:c r="B135" s="36" t="n">
        <x:v>45921.083333333336</x:v>
      </x:c>
      <x:c r="C135" s="36" t="n">
        <x:v>45921.166666666664</x:v>
      </x:c>
      <x:c r="D135" s="15" t="n">
        <x:v>71748.022571</x:v>
      </x:c>
      <x:c r="E135" s="15" t="n">
        <x:v>72447.663952</x:v>
      </x:c>
      <x:c r="F135" s="15" t="n">
        <x:v>144195.686523</x:v>
      </x:c>
      <x:c r="G135" s="15" t="n">
        <x:v>-699.6413810000086</x:v>
      </x:c>
      <x:c r="H135" s="15" t="n">
        <x:v>64238.047898</x:v>
      </x:c>
      <x:c r="I135" s="15" t="n">
        <x:v>135986.070469</x:v>
      </x:c>
      <x:c r="J135" s="15" t="n">
        <x:v>7052.474977</x:v>
      </x:c>
      <x:c r="K135" s="15" t="n">
        <x:v>12065.873878</x:v>
      </x:c>
      <x:c r="L135" s="15" t="n">
        <x:v>19118.348855</x:v>
      </x:c>
      <x:c r="M135" s="15" t="n">
        <x:v>-5013.3989010000005</x:v>
      </x:c>
      <x:c r="N135" s="15" t="n">
        <x:v>2.943158840709958</x:v>
      </x:c>
      <x:c r="O135" s="15" t="n">
        <x:v>337154.97000000003</x:v>
      </x:c>
      <x:c r="P135" s="15" t="n">
        <x:v>1502463.015</x:v>
      </x:c>
      <x:c r="Q135" s="15" t="n">
        <x:v>5669</x:v>
      </x:c>
      <x:c r="R135" s="15" t="n">
        <x:v>5.308510875525241</x:v>
      </x:c>
      <x:c r="S135" s="15" t="n">
        <x:v>2.401256732495516</x:v>
      </x:c>
      <x:c r="T135" s="15" t="n">
        <x:v>2.514325894151248</x:v>
      </x:c>
      <x:c r="U135" s="15" t="n">
        <x:v>2.685164466323564</x:v>
      </x:c>
    </x:row>
    <x:row r="136">
      <x:c r="A136" s="13" t="str">
        <x:v>all_360</x:v>
      </x:c>
      <x:c r="B136" s="36" t="n">
        <x:v>45921.166666666664</x:v>
      </x:c>
      <x:c r="C136" s="36" t="n">
        <x:v>45921.25</x:v>
      </x:c>
      <x:c r="D136" s="15" t="n">
        <x:v>26708.655814</x:v>
      </x:c>
      <x:c r="E136" s="15" t="n">
        <x:v>6118.001354</x:v>
      </x:c>
      <x:c r="F136" s="15" t="n">
        <x:v>32826.657168000005</x:v>
      </x:c>
      <x:c r="G136" s="15" t="n">
        <x:v>20590.65446</x:v>
      </x:c>
      <x:c r="H136" s="15" t="n">
        <x:v>24358.796336</x:v>
      </x:c>
      <x:c r="I136" s="15" t="n">
        <x:v>51067.45215</x:v>
      </x:c>
      <x:c r="J136" s="15" t="n">
        <x:v>9088.211829</x:v>
      </x:c>
      <x:c r="K136" s="15" t="n">
        <x:v>3472.63598</x:v>
      </x:c>
      <x:c r="L136" s="15" t="n">
        <x:v>12560.847808999999</x:v>
      </x:c>
      <x:c r="M136" s="15" t="n">
        <x:v>5615.575849</x:v>
      </x:c>
      <x:c r="N136" s="15" t="n">
        <x:v>0.7819481680071525</x:v>
      </x:c>
      <x:c r="O136" s="15" t="n">
        <x:v>100170.16</x:v>
      </x:c>
      <x:c r="P136" s="15" t="n">
        <x:v>448428.59444</x:v>
      </x:c>
      <x:c r="Q136" s="15" t="n">
        <x:v>2199</x:v>
      </x:c>
      <x:c r="R136" s="15" t="n">
        <x:v>4.556442615650402</x:v>
      </x:c>
      <x:c r="S136" s="15" t="n">
        <x:v>0.15614543832254135</x:v>
      </x:c>
      <x:c r="T136" s="15" t="n">
        <x:v>0.05744852545057633</x:v>
      </x:c>
      <x:c r="U136" s="15" t="n">
        <x:v>0.15652951699464124</x:v>
      </x:c>
    </x:row>
    <x:row r="137">
      <x:c r="A137" s="13" t="str">
        <x:v>all_360</x:v>
      </x:c>
      <x:c r="B137" s="36" t="n">
        <x:v>45921.25</x:v>
      </x:c>
      <x:c r="C137" s="36" t="n">
        <x:v>45921.333333333336</x:v>
      </x:c>
      <x:c r="D137" s="15" t="n">
        <x:v>10448.182059</x:v>
      </x:c>
      <x:c r="E137" s="15" t="n">
        <x:v>10829.255466</x:v>
      </x:c>
      <x:c r="F137" s="15" t="n">
        <x:v>21277.437525</x:v>
      </x:c>
      <x:c r="G137" s="15" t="n">
        <x:v>-381.07340699999986</x:v>
      </x:c>
      <x:c r="H137" s="15" t="n">
        <x:v>25790.69138</x:v>
      </x:c>
      <x:c r="I137" s="15" t="n">
        <x:v>36238.873439</x:v>
      </x:c>
      <x:c r="J137" s="15" t="n">
        <x:v>5940.0988879999995</x:v>
      </x:c>
      <x:c r="K137" s="15" t="n">
        <x:v>3198.977461</x:v>
      </x:c>
      <x:c r="L137" s="15" t="n">
        <x:v>9139.076348999999</x:v>
      </x:c>
      <x:c r="M137" s="15" t="n">
        <x:v>2741.1214269999996</x:v>
      </x:c>
      <x:c r="N137" s="15" t="n">
        <x:v>0.6224988883948526</x:v>
      </x:c>
      <x:c r="O137" s="15" t="n">
        <x:v>111452.9</x:v>
      </x:c>
      <x:c r="P137" s="15" t="n">
        <x:v>501568.86165</x:v>
      </x:c>
      <x:c r="Q137" s="15" t="n">
        <x:v>2462</x:v>
      </x:c>
      <x:c r="R137" s="15" t="n">
        <x:v>4.445191871405063</x:v>
      </x:c>
      <x:c r="S137" s="15" t="n">
        <x:v>0.1554174067495473</x:v>
      </x:c>
      <x:c r="T137" s="15" t="n">
        <x:v>0.008133100673468618</x:v>
      </x:c>
      <x:c r="U137" s="15" t="n">
        <x:v>0.13342228152102287</x:v>
      </x:c>
    </x:row>
    <x:row r="138">
      <x:c r="A138" s="13" t="str">
        <x:v>all_360</x:v>
      </x:c>
      <x:c r="B138" s="36" t="n">
        <x:v>45921.333333333336</x:v>
      </x:c>
      <x:c r="C138" s="36" t="n">
        <x:v>45921.416666666664</x:v>
      </x:c>
      <x:c r="D138" s="15" t="n">
        <x:v>42329.439357999996</x:v>
      </x:c>
      <x:c r="E138" s="15" t="n">
        <x:v>42042.955</x:v>
      </x:c>
      <x:c r="F138" s="15" t="n">
        <x:v>84372.39435799999</x:v>
      </x:c>
      <x:c r="G138" s="15" t="n">
        <x:v>286.48435799999424</x:v>
      </x:c>
      <x:c r="H138" s="15" t="n">
        <x:v>80442.625747</x:v>
      </x:c>
      <x:c r="I138" s="15" t="n">
        <x:v>122772.06510499999</x:v>
      </x:c>
      <x:c r="J138" s="15" t="n">
        <x:v>9631.179488</x:v>
      </x:c>
      <x:c r="K138" s="15" t="n">
        <x:v>12642.976545</x:v>
      </x:c>
      <x:c r="L138" s="15" t="n">
        <x:v>22274.156033</x:v>
      </x:c>
      <x:c r="M138" s="15" t="n">
        <x:v>-3011.7970569999998</x:v>
      </x:c>
      <x:c r="N138" s="15" t="n">
        <x:v>1.8448544120915604</x:v>
      </x:c>
      <x:c r="O138" s="15" t="n">
        <x:v>184893.36</x:v>
      </x:c>
      <x:c r="P138" s="15" t="n">
        <x:v>824771.28455</x:v>
      </x:c>
      <x:c r="Q138" s="15" t="n">
        <x:v>3784</x:v>
      </x:c>
      <x:c r="R138" s="15" t="n">
        <x:v>5.619434315171956</x:v>
      </x:c>
      <x:c r="S138" s="15" t="n">
        <x:v>0.1777777777777767</x:v>
      </x:c>
      <x:c r="T138" s="15" t="n">
        <x:v>0.005086794803443873</x:v>
      </x:c>
      <x:c r="U138" s="15" t="n">
        <x:v>0.11286681715575453</x:v>
      </x:c>
    </x:row>
    <x:row r="139">
      <x:c r="A139" s="13" t="str">
        <x:v>all_360</x:v>
      </x:c>
      <x:c r="B139" s="36" t="n">
        <x:v>45921.416666666664</x:v>
      </x:c>
      <x:c r="C139" s="36" t="n">
        <x:v>45921.5</x:v>
      </x:c>
      <x:c r="D139" s="15" t="n">
        <x:v>21822.161998</x:v>
      </x:c>
      <x:c r="E139" s="15" t="n">
        <x:v>27349.91177</x:v>
      </x:c>
      <x:c r="F139" s="15" t="n">
        <x:v>49172.073768</x:v>
      </x:c>
      <x:c r="G139" s="15" t="n">
        <x:v>-5527.749771999999</x:v>
      </x:c>
      <x:c r="H139" s="15" t="n">
        <x:v>170457.546299</x:v>
      </x:c>
      <x:c r="I139" s="15" t="n">
        <x:v>192279.708297</x:v>
      </x:c>
      <x:c r="J139" s="15" t="n">
        <x:v>5541.474473</x:v>
      </x:c>
      <x:c r="K139" s="15" t="n">
        <x:v>20316.740452000002</x:v>
      </x:c>
      <x:c r="L139" s="15" t="n">
        <x:v>25858.214925</x:v>
      </x:c>
      <x:c r="M139" s="15" t="n">
        <x:v>-14775.265979000002</x:v>
      </x:c>
      <x:c r="N139" s="15" t="n">
        <x:v>0.962830273175104</x:v>
      </x:c>
      <x:c r="O139" s="15" t="n">
        <x:v>118790.73</x:v>
      </x:c>
      <x:c r="P139" s="15" t="n">
        <x:v>528221.11107</x:v>
      </x:c>
      <x:c r="Q139" s="15" t="n">
        <x:v>2688</x:v>
      </x:c>
      <x:c r="R139" s="15" t="n">
        <x:v>5.30701384458987</x:v>
      </x:c>
      <x:c r="S139" s="15" t="n">
        <x:v>0.22471910112359383</x:v>
      </x:c>
      <x:c r="T139" s="15" t="n">
        <x:v>-0.0447727781508922</x:v>
      </x:c>
      <x:c r="U139" s="15" t="n">
        <x:v>0.1799775028121453</x:v>
      </x:c>
    </x:row>
    <x:row r="140">
      <x:c r="A140" s="13" t="str">
        <x:v>all_360</x:v>
      </x:c>
      <x:c r="B140" s="36" t="n">
        <x:v>45921.5</x:v>
      </x:c>
      <x:c r="C140" s="36" t="n">
        <x:v>45921.583333333336</x:v>
      </x:c>
      <x:c r="D140" s="15" t="n">
        <x:v>8627.128867</x:v>
      </x:c>
      <x:c r="E140" s="15" t="n">
        <x:v>8887.162657</x:v>
      </x:c>
      <x:c r="F140" s="15" t="n">
        <x:v>17514.291524</x:v>
      </x:c>
      <x:c r="G140" s="15" t="n">
        <x:v>-260.0337900000013</x:v>
      </x:c>
      <x:c r="H140" s="15" t="n">
        <x:v>60059.818432</x:v>
      </x:c>
      <x:c r="I140" s="15" t="n">
        <x:v>68686.94729899999</x:v>
      </x:c>
      <x:c r="J140" s="15" t="n">
        <x:v>10094.116146</x:v>
      </x:c>
      <x:c r="K140" s="15" t="n">
        <x:v>2420.425719</x:v>
      </x:c>
      <x:c r="L140" s="15" t="n">
        <x:v>12514.541865</x:v>
      </x:c>
      <x:c r="M140" s="15" t="n">
        <x:v>7673.690427</x:v>
      </x:c>
      <x:c r="N140" s="15" t="n">
        <x:v>0.6759801712483157</x:v>
      </x:c>
      <x:c r="O140" s="15" t="n">
        <x:v>70912.36</x:v>
      </x:c>
      <x:c r="P140" s="15" t="n">
        <x:v>315704.45359</x:v>
      </x:c>
      <x:c r="Q140" s="15" t="n">
        <x:v>1850</x:v>
      </x:c>
      <x:c r="R140" s="15" t="n">
        <x:v>4.312274542742789</x:v>
      </x:c>
      <x:c r="S140" s="15" t="n">
        <x:v>0.20129724893760415</x:v>
      </x:c>
      <x:c r="T140" s="15" t="n">
        <x:v>-0.022482014388480742</x:v>
      </x:c>
      <x:c r="U140" s="15" t="n">
        <x:v>0.20165807752633436</x:v>
      </x:c>
    </x:row>
    <x:row r="141">
      <x:c r="A141" s="13" t="str">
        <x:v>all_360</x:v>
      </x:c>
      <x:c r="B141" s="36" t="n">
        <x:v>45921.583333333336</x:v>
      </x:c>
      <x:c r="C141" s="36" t="n">
        <x:v>45921.666666666664</x:v>
      </x:c>
      <x:c r="D141" s="15" t="n">
        <x:v>25032.877123</x:v>
      </x:c>
      <x:c r="E141" s="15" t="n">
        <x:v>25188.277512</x:v>
      </x:c>
      <x:c r="F141" s="15" t="n">
        <x:v>50221.154635</x:v>
      </x:c>
      <x:c r="G141" s="15" t="n">
        <x:v>-155.40038900000218</x:v>
      </x:c>
      <x:c r="H141" s="15" t="n">
        <x:v>142484.287501</x:v>
      </x:c>
      <x:c r="I141" s="15" t="n">
        <x:v>167517.16462400003</x:v>
      </x:c>
      <x:c r="J141" s="15" t="n">
        <x:v>3857.265552</x:v>
      </x:c>
      <x:c r="K141" s="15" t="n">
        <x:v>2894.524261</x:v>
      </x:c>
      <x:c r="L141" s="15" t="n">
        <x:v>6751.789812999999</x:v>
      </x:c>
      <x:c r="M141" s="15" t="n">
        <x:v>962.7412909999998</x:v>
      </x:c>
      <x:c r="N141" s="15" t="n">
        <x:v>0.6293549112159942</x:v>
      </x:c>
      <x:c r="O141" s="15" t="n">
        <x:v>91092.78</x:v>
      </x:c>
      <x:c r="P141" s="15" t="n">
        <x:v>404767.14422</x:v>
      </x:c>
      <x:c r="Q141" s="15" t="n">
        <x:v>2215</x:v>
      </x:c>
      <x:c r="R141" s="15" t="n">
        <x:v>5.489812918915327</x:v>
      </x:c>
      <x:c r="S141" s="15" t="n">
        <x:v>0.17977528089887507</x:v>
      </x:c>
      <x:c r="T141" s="15" t="n">
        <x:v>-0.022547914317927464</x:v>
      </x:c>
      <x:c r="U141" s="15" t="n">
        <x:v>0.13507429085998224</x:v>
      </x:c>
    </x:row>
    <x:row r="142">
      <x:c r="A142" s="13" t="str">
        <x:v>all_360</x:v>
      </x:c>
      <x:c r="B142" s="36" t="n">
        <x:v>45921.666666666664</x:v>
      </x:c>
      <x:c r="C142" s="36" t="n">
        <x:v>45921.75</x:v>
      </x:c>
      <x:c r="D142" s="15" t="n">
        <x:v>17061.234144</x:v>
      </x:c>
      <x:c r="E142" s="15" t="n">
        <x:v>17639.59841</x:v>
      </x:c>
      <x:c r="F142" s="15" t="n">
        <x:v>34700.83255399999</x:v>
      </x:c>
      <x:c r="G142" s="15" t="n">
        <x:v>-578.3642660000005</x:v>
      </x:c>
      <x:c r="H142" s="15" t="n">
        <x:v>196080.7281</x:v>
      </x:c>
      <x:c r="I142" s="15" t="n">
        <x:v>213141.962244</x:v>
      </x:c>
      <x:c r="J142" s="15" t="n">
        <x:v>10499.286022</x:v>
      </x:c>
      <x:c r="K142" s="15" t="n">
        <x:v>17380.637536000002</x:v>
      </x:c>
      <x:c r="L142" s="15" t="n">
        <x:v>27879.923558000002</x:v>
      </x:c>
      <x:c r="M142" s="15" t="n">
        <x:v>-6881.351514000002</x:v>
      </x:c>
      <x:c r="N142" s="15" t="n">
        <x:v>1.0374379792512463</x:v>
      </x:c>
      <x:c r="O142" s="15" t="n">
        <x:v>146317.45</x:v>
      </x:c>
      <x:c r="P142" s="15" t="n">
        <x:v>646547.95179</x:v>
      </x:c>
      <x:c r="Q142" s="15" t="n">
        <x:v>3720</x:v>
      </x:c>
      <x:c r="R142" s="15" t="n">
        <x:v>6.923495201749352</x:v>
      </x:c>
      <x:c r="S142" s="15" t="n">
        <x:v>0.15851449275363638</x:v>
      </x:c>
      <x:c r="T142" s="15" t="n">
        <x:v>-0.0204738982308994</x:v>
      </x:c>
      <x:c r="U142" s="15" t="n">
        <x:v>0.1575512041413374</x:v>
      </x:c>
    </x:row>
    <x:row r="143">
      <x:c r="A143" s="13" t="str">
        <x:v>all_360</x:v>
      </x:c>
      <x:c r="B143" s="36" t="n">
        <x:v>45921.75</x:v>
      </x:c>
      <x:c r="C143" s="36" t="n">
        <x:v>45921.833333333336</x:v>
      </x:c>
      <x:c r="D143" s="15" t="n">
        <x:v>6795.96351</x:v>
      </x:c>
      <x:c r="E143" s="15" t="n">
        <x:v>9088.78844</x:v>
      </x:c>
      <x:c r="F143" s="15" t="n">
        <x:v>15884.75195</x:v>
      </x:c>
      <x:c r="G143" s="15" t="n">
        <x:v>-2292.8249300000007</x:v>
      </x:c>
      <x:c r="H143" s="15" t="n">
        <x:v>71620.919739</x:v>
      </x:c>
      <x:c r="I143" s="15" t="n">
        <x:v>78416.883249</x:v>
      </x:c>
      <x:c r="J143" s="15" t="n">
        <x:v>5206.367069</x:v>
      </x:c>
      <x:c r="K143" s="15" t="n">
        <x:v>3147.509938</x:v>
      </x:c>
      <x:c r="L143" s="15" t="n">
        <x:v>8353.877007</x:v>
      </x:c>
      <x:c r="M143" s="15" t="n">
        <x:v>2058.8571309999998</x:v>
      </x:c>
      <x:c r="N143" s="15" t="n">
        <x:v>0.6983554854697135</x:v>
      </x:c>
      <x:c r="O143" s="15" t="n">
        <x:v>60651.979999999996</x:v>
      </x:c>
      <x:c r="P143" s="15" t="n">
        <x:v>269203.49837</x:v>
      </x:c>
      <x:c r="Q143" s="15" t="n">
        <x:v>1939</x:v>
      </x:c>
      <x:c r="R143" s="15" t="n">
        <x:v>4.598787951320871</x:v>
      </x:c>
      <x:c r="S143" s="15" t="n">
        <x:v>0.20279405137447748</x:v>
      </x:c>
      <x:c r="T143" s="15" t="n">
        <x:v>0.05191914051070334</x:v>
      </x:c>
      <x:c r="U143" s="15" t="n">
        <x:v>0.15815634884772667</x:v>
      </x:c>
    </x:row>
    <x:row r="144">
      <x:c r="A144" s="13" t="str">
        <x:v>all_360</x:v>
      </x:c>
      <x:c r="B144" s="36" t="n">
        <x:v>45921.833333333336</x:v>
      </x:c>
      <x:c r="C144" s="36" t="n">
        <x:v>45921.916666666664</x:v>
      </x:c>
      <x:c r="D144" s="15" t="n">
        <x:v>22710.20246</x:v>
      </x:c>
      <x:c r="E144" s="15" t="n">
        <x:v>21565.110899</x:v>
      </x:c>
      <x:c r="F144" s="15" t="n">
        <x:v>44275.313359</x:v>
      </x:c>
      <x:c r="G144" s="15" t="n">
        <x:v>1145.091561000001</x:v>
      </x:c>
      <x:c r="H144" s="15" t="n">
        <x:v>98359.20754</x:v>
      </x:c>
      <x:c r="I144" s="15" t="n">
        <x:v>121069.41</x:v>
      </x:c>
      <x:c r="J144" s="15" t="n">
        <x:v>9101.566621</x:v>
      </x:c>
      <x:c r="K144" s="15" t="n">
        <x:v>10656.217538</x:v>
      </x:c>
      <x:c r="L144" s="15" t="n">
        <x:v>19757.784159000003</x:v>
      </x:c>
      <x:c r="M144" s="15" t="n">
        <x:v>-1554.6509170000008</x:v>
      </x:c>
      <x:c r="N144" s="15" t="n">
        <x:v>0.8322087269455674</x:v>
      </x:c>
      <x:c r="O144" s="15" t="n">
        <x:v>67104.45</x:v>
      </x:c>
      <x:c r="P144" s="15" t="n">
        <x:v>297430.98064</x:v>
      </x:c>
      <x:c r="Q144" s="15" t="n">
        <x:v>1708</x:v>
      </x:c>
      <x:c r="R144" s="15" t="n">
        <x:v>4.4020531922202455</x:v>
      </x:c>
      <x:c r="S144" s="15" t="n">
        <x:v>0.18018018018017834</x:v>
      </x:c>
      <x:c r="T144" s="15" t="n">
        <x:v>-0.01650770196803819</x:v>
      </x:c>
      <x:c r="U144" s="15" t="n">
        <x:v>0.1576576576576727</x:v>
      </x:c>
    </x:row>
    <x:row r="145">
      <x:c r="A145" s="13" t="str">
        <x:v>all_360</x:v>
      </x:c>
      <x:c r="B145" s="36" t="n">
        <x:v>45921.916666666664</x:v>
      </x:c>
      <x:c r="C145" s="36" t="n">
        <x:v>45922</x:v>
      </x:c>
      <x:c r="D145" s="15" t="n">
        <x:v>180661.749618</x:v>
      </x:c>
      <x:c r="E145" s="15" t="n">
        <x:v>180586.380958</x:v>
      </x:c>
      <x:c r="F145" s="15" t="n">
        <x:v>361248.13057599997</x:v>
      </x:c>
      <x:c r="G145" s="15" t="n">
        <x:v>75.36866000000737</x:v>
      </x:c>
      <x:c r="H145" s="15" t="n">
        <x:v>139641.854428</x:v>
      </x:c>
      <x:c r="I145" s="15" t="n">
        <x:v>320303.604046</x:v>
      </x:c>
      <x:c r="J145" s="15" t="n">
        <x:v>17801.118519</x:v>
      </x:c>
      <x:c r="K145" s="15" t="n">
        <x:v>5603.729167</x:v>
      </x:c>
      <x:c r="L145" s="15" t="n">
        <x:v>23404.847686</x:v>
      </x:c>
      <x:c r="M145" s="15" t="n">
        <x:v>12197.389351999998</x:v>
      </x:c>
      <x:c r="N145" s="15" t="n">
        <x:v>0.7687090210264482</x:v>
      </x:c>
      <x:c r="O145" s="15" t="n">
        <x:v>63432.03</x:v>
      </x:c>
      <x:c r="P145" s="15" t="n">
        <x:v>279829.32612</x:v>
      </x:c>
      <x:c r="Q145" s="15" t="n">
        <x:v>1881</x:v>
      </x:c>
      <x:c r="R145" s="15" t="n">
        <x:v>5.528871818108283</x:v>
      </x:c>
      <x:c r="S145" s="15" t="n">
        <x:v>0.1813236627379866</x:v>
      </x:c>
      <x:c r="T145" s="15" t="n">
        <x:v>-0.01214271976477388</x:v>
      </x:c>
      <x:c r="U145" s="15" t="n">
        <x:v>0.20320614134117232</x:v>
      </x:c>
    </x:row>
    <x:row r="146">
      <x:c r="A146" s="13" t="str">
        <x:v>all_360</x:v>
      </x:c>
      <x:c r="B146" s="36" t="n">
        <x:v>45922</x:v>
      </x:c>
      <x:c r="C146" s="36" t="n">
        <x:v>45922.083333333336</x:v>
      </x:c>
      <x:c r="D146" s="15" t="n">
        <x:v>87434.072012</x:v>
      </x:c>
      <x:c r="E146" s="15" t="n">
        <x:v>86848.545569</x:v>
      </x:c>
      <x:c r="F146" s="15" t="n">
        <x:v>174282.617581</x:v>
      </x:c>
      <x:c r="G146" s="15" t="n">
        <x:v>585.5264430000097</x:v>
      </x:c>
      <x:c r="H146" s="15" t="n">
        <x:v>248696.270251</x:v>
      </x:c>
      <x:c r="I146" s="15" t="n">
        <x:v>336130.342263</x:v>
      </x:c>
      <x:c r="J146" s="15" t="n">
        <x:v>22316.347395</x:v>
      </x:c>
      <x:c r="K146" s="15" t="n">
        <x:v>13841.728135</x:v>
      </x:c>
      <x:c r="L146" s="15" t="n">
        <x:v>36158.07553</x:v>
      </x:c>
      <x:c r="M146" s="15" t="n">
        <x:v>8474.619260000001</x:v>
      </x:c>
      <x:c r="N146" s="15" t="n">
        <x:v>2.409090909090906</x:v>
      </x:c>
      <x:c r="O146" s="15" t="n">
        <x:v>405667.92</x:v>
      </x:c>
      <x:c r="P146" s="15" t="n">
        <x:v>1765405.34515</x:v>
      </x:c>
      <x:c r="Q146" s="15" t="n">
        <x:v>12993</x:v>
      </x:c>
      <x:c r="R146" s="15" t="n">
        <x:v>12.44092528297287</x:v>
      </x:c>
      <x:c r="S146" s="15" t="n">
        <x:v>0.29465095194922686</x:v>
      </x:c>
      <x:c r="T146" s="15" t="n">
        <x:v>0.044587749346669536</x:v>
      </x:c>
      <x:c r="U146" s="15" t="n">
        <x:v>0.22988505747125743</x:v>
      </x:c>
    </x:row>
    <x:row r="147">
      <x:c r="A147" s="13" t="str">
        <x:v>all_360</x:v>
      </x:c>
      <x:c r="B147" s="36" t="n">
        <x:v>45922.083333333336</x:v>
      </x:c>
      <x:c r="C147" s="36" t="n">
        <x:v>45922.166666666664</x:v>
      </x:c>
      <x:c r="D147" s="15" t="n">
        <x:v>52481.578599</x:v>
      </x:c>
      <x:c r="E147" s="15" t="n">
        <x:v>56023.86964</x:v>
      </x:c>
      <x:c r="F147" s="15" t="n">
        <x:v>108505.44823899999</x:v>
      </x:c>
      <x:c r="G147" s="15" t="n">
        <x:v>-3542.2910409999968</x:v>
      </x:c>
      <x:c r="H147" s="15" t="n">
        <x:v>331623.754972</x:v>
      </x:c>
      <x:c r="I147" s="15" t="n">
        <x:v>384105.333571</x:v>
      </x:c>
      <x:c r="J147" s="15" t="n">
        <x:v>25331.010012</x:v>
      </x:c>
      <x:c r="K147" s="15" t="n">
        <x:v>18169.076446</x:v>
      </x:c>
      <x:c r="L147" s="15" t="n">
        <x:v>43500.086458</x:v>
      </x:c>
      <x:c r="M147" s="15" t="n">
        <x:v>7161.933566</x:v>
      </x:c>
      <x:c r="N147" s="15" t="n">
        <x:v>2.165399677493672</x:v>
      </x:c>
      <x:c r="O147" s="15" t="n">
        <x:v>344776.24</x:v>
      </x:c>
      <x:c r="P147" s="15" t="n">
        <x:v>1482496.8726599999</x:v>
      </x:c>
      <x:c r="Q147" s="15" t="n">
        <x:v>11870</x:v>
      </x:c>
      <x:c r="R147" s="15" t="n">
        <x:v>9.912938230882373</x:v>
      </x:c>
      <x:c r="S147" s="15" t="n">
        <x:v>0.20871985157699946</x:v>
      </x:c>
      <x:c r="T147" s="15" t="n">
        <x:v>0.0022463297350561184</x:v>
      </x:c>
      <x:c r="U147" s="15" t="n">
        <x:v>0.23180343069076903</x:v>
      </x:c>
    </x:row>
    <x:row r="148">
      <x:c r="A148" s="13" t="str">
        <x:v>all_360</x:v>
      </x:c>
      <x:c r="B148" s="36" t="n">
        <x:v>45922.166666666664</x:v>
      </x:c>
      <x:c r="C148" s="36" t="n">
        <x:v>45922.25</x:v>
      </x:c>
      <x:c r="D148" s="15" t="n">
        <x:v>17816.622514000002</x:v>
      </x:c>
      <x:c r="E148" s="15" t="n">
        <x:v>17546.145534</x:v>
      </x:c>
      <x:c r="F148" s="15" t="n">
        <x:v>35362.768048</x:v>
      </x:c>
      <x:c r="G148" s="15" t="n">
        <x:v>270.4769800000031</x:v>
      </x:c>
      <x:c r="H148" s="15" t="n">
        <x:v>132169.933096</x:v>
      </x:c>
      <x:c r="I148" s="15" t="n">
        <x:v>149986.55560999998</x:v>
      </x:c>
      <x:c r="J148" s="15" t="n">
        <x:v>2749.377861</x:v>
      </x:c>
      <x:c r="K148" s="15" t="n">
        <x:v>4894.680525</x:v>
      </x:c>
      <x:c r="L148" s="15" t="n">
        <x:v>7644.058386</x:v>
      </x:c>
      <x:c r="M148" s="15" t="n">
        <x:v>-2145.302664</x:v>
      </x:c>
      <x:c r="N148" s="15" t="n">
        <x:v>1.9248608534322655</x:v>
      </x:c>
      <x:c r="O148" s="15" t="n">
        <x:v>188199.69</x:v>
      </x:c>
      <x:c r="P148" s="15" t="n">
        <x:v>809153.0383199999</x:v>
      </x:c>
      <x:c r="Q148" s="15" t="n">
        <x:v>6574</x:v>
      </x:c>
      <x:c r="R148" s="15" t="n">
        <x:v>6.9948725445051485</x:v>
      </x:c>
      <x:c r="S148" s="15" t="n">
        <x:v>0.18544274455262189</x:v>
      </x:c>
      <x:c r="T148" s="15" t="n">
        <x:v>-0.01193944761803678</x:v>
      </x:c>
      <x:c r="U148" s="15" t="n">
        <x:v>0.2548065786425746</x:v>
      </x:c>
    </x:row>
    <x:row r="149">
      <x:c r="A149" s="13" t="str">
        <x:v>all_360</x:v>
      </x:c>
      <x:c r="B149" s="36" t="n">
        <x:v>45922.25</x:v>
      </x:c>
      <x:c r="C149" s="36" t="n">
        <x:v>45922.333333333336</x:v>
      </x:c>
      <x:c r="D149" s="15" t="n">
        <x:v>80235.909761</x:v>
      </x:c>
      <x:c r="E149" s="15" t="n">
        <x:v>82081.65326199999</x:v>
      </x:c>
      <x:c r="F149" s="15" t="n">
        <x:v>162317.563023</x:v>
      </x:c>
      <x:c r="G149" s="15" t="n">
        <x:v>-1845.74350099999</x:v>
      </x:c>
      <x:c r="H149" s="15" t="n">
        <x:v>516619.42791699996</x:v>
      </x:c>
      <x:c r="I149" s="15" t="n">
        <x:v>596855.337678</x:v>
      </x:c>
      <x:c r="J149" s="15" t="n">
        <x:v>20324.029324</x:v>
      </x:c>
      <x:c r="K149" s="15" t="n">
        <x:v>46184.701381</x:v>
      </x:c>
      <x:c r="L149" s="15" t="n">
        <x:v>66508.730705</x:v>
      </x:c>
      <x:c r="M149" s="15" t="n">
        <x:v>-25860.672057</x:v>
      </x:c>
      <x:c r="N149" s="15" t="n">
        <x:v>5.157795572303351</x:v>
      </x:c>
      <x:c r="O149" s="15" t="n">
        <x:v>1185961.88</x:v>
      </x:c>
      <x:c r="P149" s="15" t="n">
        <x:v>4909660.41822</x:v>
      </x:c>
      <x:c r="Q149" s="15" t="n">
        <x:v>34970</x:v>
      </x:c>
      <x:c r="R149" s="15" t="n">
        <x:v>19.435191514309324</x:v>
      </x:c>
      <x:c r="S149" s="15" t="n">
        <x:v>0.2474634991338931</x:v>
      </x:c>
      <x:c r="T149" s="15" t="n">
        <x:v>0.09633339744851144</x:v>
      </x:c>
      <x:c r="U149" s="15" t="n">
        <x:v>1.6829268292682942</x:v>
      </x:c>
    </x:row>
    <x:row r="150">
      <x:c r="A150" s="13" t="str">
        <x:v>all_360</x:v>
      </x:c>
      <x:c r="B150" s="36" t="n">
        <x:v>45922.333333333336</x:v>
      </x:c>
      <x:c r="C150" s="36" t="n">
        <x:v>45922.416666666664</x:v>
      </x:c>
      <x:c r="D150" s="15" t="n">
        <x:v>324858.868944</x:v>
      </x:c>
      <x:c r="E150" s="15" t="n">
        <x:v>325198.072367</x:v>
      </x:c>
      <x:c r="F150" s="15" t="n">
        <x:v>650056.9413109999</x:v>
      </x:c>
      <x:c r="G150" s="15" t="n">
        <x:v>-339.203422999999</x:v>
      </x:c>
      <x:c r="H150" s="15" t="n">
        <x:v>499719.82321700006</x:v>
      </x:c>
      <x:c r="I150" s="15" t="n">
        <x:v>824578.6921610001</x:v>
      </x:c>
      <x:c r="J150" s="15" t="n">
        <x:v>67213.274641</x:v>
      </x:c>
      <x:c r="K150" s="15" t="n">
        <x:v>8130.997761</x:v>
      </x:c>
      <x:c r="L150" s="15" t="n">
        <x:v>75344.272402</x:v>
      </x:c>
      <x:c r="M150" s="15" t="n">
        <x:v>59082.27688</x:v>
      </x:c>
      <x:c r="N150" s="15" t="n">
        <x:v>1.2503005530175426</x:v>
      </x:c>
      <x:c r="O150" s="15" t="n">
        <x:v>305095.7</x:v>
      </x:c>
      <x:c r="P150" s="15" t="n">
        <x:v>1267547.62645</x:v>
      </x:c>
      <x:c r="Q150" s="15" t="n">
        <x:v>8527</x:v>
      </x:c>
      <x:c r="R150" s="15" t="n">
        <x:v>8.637075992297639</x:v>
      </x:c>
      <x:c r="S150" s="15" t="n">
        <x:v>0.19253910950661757</x:v>
      </x:c>
      <x:c r="T150" s="15" t="n">
        <x:v>0.02410800385727052</x:v>
      </x:c>
      <x:c r="U150" s="15" t="n">
        <x:v>0.21660649819494893</x:v>
      </x:c>
    </x:row>
    <x:row r="151">
      <x:c r="A151" s="13" t="str">
        <x:v>all_360</x:v>
      </x:c>
      <x:c r="B151" s="36" t="n">
        <x:v>45922.416666666664</x:v>
      </x:c>
      <x:c r="C151" s="36" t="n">
        <x:v>45922.5</x:v>
      </x:c>
      <x:c r="D151" s="15" t="n">
        <x:v>50040.13345</x:v>
      </x:c>
      <x:c r="E151" s="15" t="n">
        <x:v>49032.809747</x:v>
      </x:c>
      <x:c r="F151" s="15" t="n">
        <x:v>99072.943197</x:v>
      </x:c>
      <x:c r="G151" s="15" t="n">
        <x:v>1007.3237030000018</x:v>
      </x:c>
      <x:c r="H151" s="15" t="n">
        <x:v>321582.247364</x:v>
      </x:c>
      <x:c r="I151" s="15" t="n">
        <x:v>371622.38081400003</x:v>
      </x:c>
      <x:c r="J151" s="15" t="n">
        <x:v>14516.888801000001</x:v>
      </x:c>
      <x:c r="K151" s="15" t="n">
        <x:v>4119.167564</x:v>
      </x:c>
      <x:c r="L151" s="15" t="n">
        <x:v>18636.056365</x:v>
      </x:c>
      <x:c r="M151" s="15" t="n">
        <x:v>10397.721237000002</x:v>
      </x:c>
      <x:c r="N151" s="15" t="n">
        <x:v>1.3071895424836666</x:v>
      </x:c>
      <x:c r="O151" s="15" t="n">
        <x:v>196416.47</x:v>
      </x:c>
      <x:c r="P151" s="15" t="n">
        <x:v>817241.76088</x:v>
      </x:c>
      <x:c r="Q151" s="15" t="n">
        <x:v>4771</x:v>
      </x:c>
      <x:c r="R151" s="15" t="n">
        <x:v>6.418373021361412</x:v>
      </x:c>
      <x:c r="S151" s="15" t="n">
        <x:v>0.26518804243008676</x:v>
      </x:c>
      <x:c r="T151" s="15" t="n">
        <x:v>0.08675141402922915</x:v>
      </x:c>
      <x:c r="U151" s="15" t="n">
        <x:v>0.16912297656440645</x:v>
      </x:c>
    </x:row>
    <x:row r="152">
      <x:c r="A152" s="13" t="str">
        <x:v>all_360</x:v>
      </x:c>
      <x:c r="B152" s="36" t="n">
        <x:v>45922.5</x:v>
      </x:c>
      <x:c r="C152" s="36" t="n">
        <x:v>45922.583333333336</x:v>
      </x:c>
      <x:c r="D152" s="15" t="n">
        <x:v>13791.013823</x:v>
      </x:c>
      <x:c r="E152" s="15" t="n">
        <x:v>14806.194318</x:v>
      </x:c>
      <x:c r="F152" s="15" t="n">
        <x:v>28597.208141</x:v>
      </x:c>
      <x:c r="G152" s="15" t="n">
        <x:v>-1015.1804950000005</x:v>
      </x:c>
      <x:c r="H152" s="15" t="n">
        <x:v>171426.216707</x:v>
      </x:c>
      <x:c r="I152" s="15" t="n">
        <x:v>185217.23053</x:v>
      </x:c>
      <x:c r="J152" s="15" t="n">
        <x:v>19211.255662</x:v>
      </x:c>
      <x:c r="K152" s="15" t="n">
        <x:v>10985.885420999999</x:v>
      </x:c>
      <x:c r="L152" s="15" t="n">
        <x:v>30197.141083</x:v>
      </x:c>
      <x:c r="M152" s="15" t="n">
        <x:v>8225.370241</x:v>
      </x:c>
      <x:c r="N152" s="15" t="n">
        <x:v>1.0576923076923193</x:v>
      </x:c>
      <x:c r="O152" s="15" t="n">
        <x:v>173925.88</x:v>
      </x:c>
      <x:c r="P152" s="15" t="n">
        <x:v>724741.29775</x:v>
      </x:c>
      <x:c r="Q152" s="15" t="n">
        <x:v>5193</x:v>
      </x:c>
      <x:c r="R152" s="15" t="n">
        <x:v>8.517610013822186</x:v>
      </x:c>
      <x:c r="S152" s="15" t="n">
        <x:v>0.21567217828900587</x:v>
      </x:c>
      <x:c r="T152" s="15" t="n">
        <x:v>-0.012043116858651004</x:v>
      </x:c>
      <x:c r="U152" s="15" t="n">
        <x:v>0.19212295869356355</x:v>
      </x:c>
    </x:row>
    <x:row r="153">
      <x:c r="A153" s="13" t="str">
        <x:v>all_360</x:v>
      </x:c>
      <x:c r="B153" s="36" t="n">
        <x:v>45922.583333333336</x:v>
      </x:c>
      <x:c r="C153" s="36" t="n">
        <x:v>45922.666666666664</x:v>
      </x:c>
      <x:c r="D153" s="15" t="n">
        <x:v>23240.042397</x:v>
      </x:c>
      <x:c r="E153" s="15" t="n">
        <x:v>45250.875436</x:v>
      </x:c>
      <x:c r="F153" s="15" t="n">
        <x:v>68490.917833</x:v>
      </x:c>
      <x:c r="G153" s="15" t="n">
        <x:v>-22010.833039</x:v>
      </x:c>
      <x:c r="H153" s="15" t="n">
        <x:v>292876.634944</x:v>
      </x:c>
      <x:c r="I153" s="15" t="n">
        <x:v>316116.677341</x:v>
      </x:c>
      <x:c r="J153" s="15" t="n">
        <x:v>19413.745361</x:v>
      </x:c>
      <x:c r="K153" s="15" t="n">
        <x:v>13212.106585</x:v>
      </x:c>
      <x:c r="L153" s="15" t="n">
        <x:v>32625.851946000002</x:v>
      </x:c>
      <x:c r="M153" s="15" t="n">
        <x:v>6201.638776000002</x:v>
      </x:c>
      <x:c r="N153" s="15" t="n">
        <x:v>1.7916865742952741</x:v>
      </x:c>
      <x:c r="O153" s="15" t="n">
        <x:v>224146.99</x:v>
      </x:c>
      <x:c r="P153" s="15" t="n">
        <x:v>929383.06625</x:v>
      </x:c>
      <x:c r="Q153" s="15" t="n">
        <x:v>5627</x:v>
      </x:c>
      <x:c r="R153" s="15" t="n">
        <x:v>8.433781741841395</x:v>
      </x:c>
      <x:c r="S153" s="15" t="n">
        <x:v>0.23906287353573363</x:v>
      </x:c>
      <x:c r="T153" s="15" t="n">
        <x:v>0</x:v>
      </x:c>
      <x:c r="U153" s="15" t="n">
        <x:v>0.19147917663954184</x:v>
      </x:c>
    </x:row>
    <x:row r="154">
      <x:c r="A154" s="13" t="str">
        <x:v>all_360</x:v>
      </x:c>
      <x:c r="B154" s="36" t="n">
        <x:v>45922.666666666664</x:v>
      </x:c>
      <x:c r="C154" s="36" t="n">
        <x:v>45922.75</x:v>
      </x:c>
      <x:c r="D154" s="15" t="n">
        <x:v>45542.871599</x:v>
      </x:c>
      <x:c r="E154" s="15" t="n">
        <x:v>47227.2315</x:v>
      </x:c>
      <x:c r="F154" s="15" t="n">
        <x:v>92770.103099</x:v>
      </x:c>
      <x:c r="G154" s="15" t="n">
        <x:v>-1684.3599010000034</x:v>
      </x:c>
      <x:c r="H154" s="15" t="n">
        <x:v>162188.750627</x:v>
      </x:c>
      <x:c r="I154" s="15" t="n">
        <x:v>207731.622226</x:v>
      </x:c>
      <x:c r="J154" s="15" t="n">
        <x:v>12176.391962</x:v>
      </x:c>
      <x:c r="K154" s="15" t="n">
        <x:v>8571.222047</x:v>
      </x:c>
      <x:c r="L154" s="15" t="n">
        <x:v>20747.614008999997</x:v>
      </x:c>
      <x:c r="M154" s="15" t="n">
        <x:v>3605.1699150000004</x:v>
      </x:c>
      <x:c r="N154" s="15" t="n">
        <x:v>0.9699321047526682</x:v>
      </x:c>
      <x:c r="O154" s="15" t="n">
        <x:v>175939.68</x:v>
      </x:c>
      <x:c r="P154" s="15" t="n">
        <x:v>724891.25978</x:v>
      </x:c>
      <x:c r="Q154" s="15" t="n">
        <x:v>5534</x:v>
      </x:c>
      <x:c r="R154" s="15" t="n">
        <x:v>9.221211131185925</x:v>
      </x:c>
      <x:c r="S154" s="15" t="n">
        <x:v>0.2661504960077443</x:v>
      </x:c>
      <x:c r="T154" s="15" t="n">
        <x:v>0.10843638462845195</x:v>
      </x:c>
      <x:c r="U154" s="15" t="n">
        <x:v>0.19398642095053154</x:v>
      </x:c>
    </x:row>
    <x:row r="155">
      <x:c r="A155" s="13" t="str">
        <x:v>all_360</x:v>
      </x:c>
      <x:c r="B155" s="36" t="n">
        <x:v>45922.75</x:v>
      </x:c>
      <x:c r="C155" s="36" t="n">
        <x:v>45922.833333333336</x:v>
      </x:c>
      <x:c r="D155" s="15" t="n">
        <x:v>53380.635277999994</x:v>
      </x:c>
      <x:c r="E155" s="15" t="n">
        <x:v>53632.208199</x:v>
      </x:c>
      <x:c r="F155" s="15" t="n">
        <x:v>107012.84347699999</x:v>
      </x:c>
      <x:c r="G155" s="15" t="n">
        <x:v>-251.57292100000632</x:v>
      </x:c>
      <x:c r="H155" s="15" t="n">
        <x:v>301824.428801</x:v>
      </x:c>
      <x:c r="I155" s="15" t="n">
        <x:v>355205.064079</x:v>
      </x:c>
      <x:c r="J155" s="15" t="n">
        <x:v>6835.677832</x:v>
      </x:c>
      <x:c r="K155" s="15" t="n">
        <x:v>12916.221597</x:v>
      </x:c>
      <x:c r="L155" s="15" t="n">
        <x:v>19751.899429</x:v>
      </x:c>
      <x:c r="M155" s="15" t="n">
        <x:v>-6080.543764999999</x:v>
      </x:c>
      <x:c r="N155" s="15" t="n">
        <x:v>1.1396702230843772</x:v>
      </x:c>
      <x:c r="O155" s="15" t="n">
        <x:v>191138.93</x:v>
      </x:c>
      <x:c r="P155" s="15" t="n">
        <x:v>784298.21319</x:v>
      </x:c>
      <x:c r="Q155" s="15" t="n">
        <x:v>4979</x:v>
      </x:c>
      <x:c r="R155" s="15" t="n">
        <x:v>7.181002975139017</x:v>
      </x:c>
      <x:c r="S155" s="15" t="n">
        <x:v>0.24277737314881698</x:v>
      </x:c>
      <x:c r="T155" s="15" t="n">
        <x:v>0.02442002442001323</x:v>
      </x:c>
      <x:c r="U155" s="15" t="n">
        <x:v>0.17102369899828496</x:v>
      </x:c>
    </x:row>
    <x:row r="156">
      <x:c r="A156" s="13" t="str">
        <x:v>all_360</x:v>
      </x:c>
      <x:c r="B156" s="36" t="n">
        <x:v>45922.833333333336</x:v>
      </x:c>
      <x:c r="C156" s="36" t="n">
        <x:v>45922.916666666664</x:v>
      </x:c>
      <x:c r="D156" s="15" t="n">
        <x:v>40656.421871</x:v>
      </x:c>
      <x:c r="E156" s="15" t="n">
        <x:v>15630.143129</x:v>
      </x:c>
      <x:c r="F156" s="15" t="n">
        <x:v>56286.565</x:v>
      </x:c>
      <x:c r="G156" s="15" t="n">
        <x:v>25026.278742</x:v>
      </x:c>
      <x:c r="H156" s="15" t="n">
        <x:v>46582.290195</x:v>
      </x:c>
      <x:c r="I156" s="15" t="n">
        <x:v>87238.71206600001</x:v>
      </x:c>
      <x:c r="J156" s="15" t="n">
        <x:v>37141.751759</x:v>
      </x:c>
      <x:c r="K156" s="15" t="n">
        <x:v>23491.773218</x:v>
      </x:c>
      <x:c r="L156" s="15" t="n">
        <x:v>60633.524976999994</x:v>
      </x:c>
      <x:c r="M156" s="15" t="n">
        <x:v>13649.978541</x:v>
      </x:c>
      <x:c r="N156" s="15" t="n">
        <x:v>1.932012717045726</x:v>
      </x:c>
      <x:c r="O156" s="15" t="n">
        <x:v>100605.97</x:v>
      </x:c>
      <x:c r="P156" s="15" t="n">
        <x:v>415876.91748</x:v>
      </x:c>
      <x:c r="Q156" s="15" t="n">
        <x:v>2724</x:v>
      </x:c>
      <x:c r="R156" s="15" t="n">
        <x:v>5.7197725579549274</x:v>
      </x:c>
      <x:c r="S156" s="15" t="n">
        <x:v>0.2403268445085316</x:v>
      </x:c>
      <x:c r="T156" s="15" t="n">
        <x:v>0.02408477842004153</x:v>
      </x:c>
      <x:c r="U156" s="15" t="n">
        <x:v>0.16940948693126012</x:v>
      </x:c>
    </x:row>
    <x:row r="157">
      <x:c r="A157" s="13" t="str">
        <x:v>all_360</x:v>
      </x:c>
      <x:c r="B157" s="36" t="n">
        <x:v>45922.916666666664</x:v>
      </x:c>
      <x:c r="C157" s="36" t="n">
        <x:v>45923</x:v>
      </x:c>
      <x:c r="D157" s="15" t="n">
        <x:v>5517.483999</x:v>
      </x:c>
      <x:c r="E157" s="15" t="n">
        <x:v>5269.160546</x:v>
      </x:c>
      <x:c r="F157" s="15" t="n">
        <x:v>10786.644545</x:v>
      </x:c>
      <x:c r="G157" s="15" t="n">
        <x:v>248.32345299999997</x:v>
      </x:c>
      <x:c r="H157" s="15" t="n">
        <x:v>95119.400384</x:v>
      </x:c>
      <x:c r="I157" s="15" t="n">
        <x:v>100636.884383</x:v>
      </x:c>
      <x:c r="J157" s="15" t="n">
        <x:v>4170.872501</x:v>
      </x:c>
      <x:c r="K157" s="15" t="n">
        <x:v>5570.573047</x:v>
      </x:c>
      <x:c r="L157" s="15" t="n">
        <x:v>9741.445548</x:v>
      </x:c>
      <x:c r="M157" s="15" t="n">
        <x:v>-1399.700546</x:v>
      </x:c>
      <x:c r="N157" s="15" t="n">
        <x:v>0.45662100456621313</x:v>
      </x:c>
      <x:c r="O157" s="15" t="n">
        <x:v>49055.84</x:v>
      </x:c>
      <x:c r="P157" s="15" t="n">
        <x:v>203629.54986</x:v>
      </x:c>
      <x:c r="Q157" s="15" t="n">
        <x:v>1432</x:v>
      </x:c>
      <x:c r="R157" s="15" t="n">
        <x:v>4.3599545818167496</x:v>
      </x:c>
      <x:c r="S157" s="15" t="n">
        <x:v>0.19272464466393302</x:v>
      </x:c>
      <x:c r="T157" s="15" t="n">
        <x:v>-0.038238446396610115</x:v>
      </x:c>
      <x:c r="U157" s="15" t="n">
        <x:v>0.16855285335900527</x:v>
      </x:c>
    </x:row>
    <x:row r="158">
      <x:c r="A158" s="13" t="str">
        <x:v>all_360</x:v>
      </x:c>
      <x:c r="B158" s="36" t="n">
        <x:v>45923</x:v>
      </x:c>
      <x:c r="C158" s="36" t="n">
        <x:v>45923.083333333336</x:v>
      </x:c>
      <x:c r="D158" s="15" t="n">
        <x:v>24767.983539</x:v>
      </x:c>
      <x:c r="E158" s="15" t="n">
        <x:v>27276.176473</x:v>
      </x:c>
      <x:c r="F158" s="15" t="n">
        <x:v>52044.160012</x:v>
      </x:c>
      <x:c r="G158" s="15" t="n">
        <x:v>-2508.192933999999</x:v>
      </x:c>
      <x:c r="H158" s="15" t="n">
        <x:v>56326.519391</x:v>
      </x:c>
      <x:c r="I158" s="15" t="n">
        <x:v>81094.50293</x:v>
      </x:c>
      <x:c r="J158" s="15" t="n">
        <x:v>665.631558</x:v>
      </x:c>
      <x:c r="K158" s="15" t="n">
        <x:v>5566.0578000000005</x:v>
      </x:c>
      <x:c r="L158" s="15" t="n">
        <x:v>6231.6893580000005</x:v>
      </x:c>
      <x:c r="M158" s="15" t="n">
        <x:v>-4900.4262420000005</x:v>
      </x:c>
      <x:c r="N158" s="15" t="n">
        <x:v>1.177601538091814</x:v>
      </x:c>
      <x:c r="O158" s="15" t="n">
        <x:v>107795.93000000001</x:v>
      </x:c>
      <x:c r="P158" s="15" t="n">
        <x:v>447372.50704</x:v>
      </x:c>
      <x:c r="Q158" s="15" t="n">
        <x:v>2633</x:v>
      </x:c>
      <x:c r="R158" s="15" t="n">
        <x:v>5.59017654574383</x:v>
      </x:c>
      <x:c r="S158" s="15" t="n">
        <x:v>0.2414875633904856</x:v>
      </x:c>
      <x:c r="T158" s="15" t="n">
        <x:v>0.005997717175376671</x:v>
      </x:c>
      <x:c r="U158" s="15" t="n">
        <x:v>0.19314340898116678</x:v>
      </x:c>
    </x:row>
    <x:row r="159">
      <x:c r="A159" s="13" t="str">
        <x:v>all_360</x:v>
      </x:c>
      <x:c r="B159" s="36" t="n">
        <x:v>45923.083333333336</x:v>
      </x:c>
      <x:c r="C159" s="36" t="n">
        <x:v>45923.166666666664</x:v>
      </x:c>
      <x:c r="D159" s="15" t="n">
        <x:v>25975.665493</x:v>
      </x:c>
      <x:c r="E159" s="15" t="n">
        <x:v>27059.705866</x:v>
      </x:c>
      <x:c r="F159" s="15" t="n">
        <x:v>53035.371359</x:v>
      </x:c>
      <x:c r="G159" s="15" t="n">
        <x:v>-1084.0403729999998</x:v>
      </x:c>
      <x:c r="H159" s="15" t="n">
        <x:v>164532.249845</x:v>
      </x:c>
      <x:c r="I159" s="15" t="n">
        <x:v>190507.91533800002</x:v>
      </x:c>
      <x:c r="J159" s="15" t="n">
        <x:v>10077.311891</x:v>
      </x:c>
      <x:c r="K159" s="15" t="n">
        <x:v>7767.613131</x:v>
      </x:c>
      <x:c r="L159" s="15" t="n">
        <x:v>17844.925022</x:v>
      </x:c>
      <x:c r="M159" s="15" t="n">
        <x:v>2309.6987599999993</x:v>
      </x:c>
      <x:c r="N159" s="15" t="n">
        <x:v>2.0116335433834265</x:v>
      </x:c>
      <x:c r="O159" s="15" t="n">
        <x:v>185718.27</x:v>
      </x:c>
      <x:c r="P159" s="15" t="n">
        <x:v>768106.14065</x:v>
      </x:c>
      <x:c r="Q159" s="15" t="n">
        <x:v>4520</x:v>
      </x:c>
      <x:c r="R159" s="15" t="n">
        <x:v>7.350935836730232</x:v>
      </x:c>
      <x:c r="S159" s="15" t="n">
        <x:v>0.2420135527589462</x:v>
      </x:c>
      <x:c r="T159" s="15" t="n">
        <x:v>-0.011579552322338316</x:v>
      </x:c>
      <x:c r="U159" s="15" t="n">
        <x:v>0.2190847127555906</x:v>
      </x:c>
    </x:row>
    <x:row r="160">
      <x:c r="A160" s="13" t="str">
        <x:v>all_360</x:v>
      </x:c>
      <x:c r="B160" s="36" t="n">
        <x:v>45923.166666666664</x:v>
      </x:c>
      <x:c r="C160" s="36" t="n">
        <x:v>45923.25</x:v>
      </x:c>
      <x:c r="D160" s="15" t="n">
        <x:v>20111.807435</x:v>
      </x:c>
      <x:c r="E160" s="15" t="n">
        <x:v>23443.190307</x:v>
      </x:c>
      <x:c r="F160" s="15" t="n">
        <x:v>43554.997742</x:v>
      </x:c>
      <x:c r="G160" s="15" t="n">
        <x:v>-3331.382872000002</x:v>
      </x:c>
      <x:c r="H160" s="15" t="n">
        <x:v>72786.92417</x:v>
      </x:c>
      <x:c r="I160" s="15" t="n">
        <x:v>92898.731605</x:v>
      </x:c>
      <x:c r="J160" s="15" t="n">
        <x:v>1039.900884</x:v>
      </x:c>
      <x:c r="K160" s="15" t="n">
        <x:v>9724.552316</x:v>
      </x:c>
      <x:c r="L160" s="15" t="n">
        <x:v>10764.4532</x:v>
      </x:c>
      <x:c r="M160" s="15" t="n">
        <x:v>-8684.651431999999</x:v>
      </x:c>
      <x:c r="N160" s="15" t="n">
        <x:v>0.9121459433509421</x:v>
      </x:c>
      <x:c r="O160" s="15" t="n">
        <x:v>96679.73</x:v>
      </x:c>
      <x:c r="P160" s="15" t="n">
        <x:v>401749.05770999996</x:v>
      </x:c>
      <x:c r="Q160" s="15" t="n">
        <x:v>2145</x:v>
      </x:c>
      <x:c r="R160" s="15" t="n">
        <x:v>6.04002527741756</x:v>
      </x:c>
      <x:c r="S160" s="15" t="n">
        <x:v>0.21686746987952255</x:v>
      </x:c>
      <x:c r="T160" s="15" t="n">
        <x:v>-0.011432736185201797</x:v>
      </x:c>
      <x:c r="U160" s="15" t="n">
        <x:v>0.21686746987952255</x:v>
      </x:c>
    </x:row>
    <x:row r="161">
      <x:c r="A161" s="13" t="str">
        <x:v>all_360</x:v>
      </x:c>
      <x:c r="B161" s="36" t="n">
        <x:v>45923.25</x:v>
      </x:c>
      <x:c r="C161" s="36" t="n">
        <x:v>45923.333333333336</x:v>
      </x:c>
      <x:c r="D161" s="15" t="n">
        <x:v>16958.715876</x:v>
      </x:c>
      <x:c r="E161" s="15" t="n">
        <x:v>14697.475154</x:v>
      </x:c>
      <x:c r="F161" s="15" t="n">
        <x:v>31656.191029999998</x:v>
      </x:c>
      <x:c r="G161" s="15" t="n">
        <x:v>2261.2407219999986</x:v>
      </x:c>
      <x:c r="H161" s="15" t="n">
        <x:v>46878.269549000004</x:v>
      </x:c>
      <x:c r="I161" s="15" t="n">
        <x:v>63836.985425000006</x:v>
      </x:c>
      <x:c r="J161" s="15" t="n">
        <x:v>22770.868115</x:v>
      </x:c>
      <x:c r="K161" s="15" t="n">
        <x:v>13457.907618000001</x:v>
      </x:c>
      <x:c r="L161" s="15" t="n">
        <x:v>36228.775733</x:v>
      </x:c>
      <x:c r="M161" s="15" t="n">
        <x:v>9312.960497</x:v>
      </x:c>
      <x:c r="N161" s="15" t="n">
        <x:v>1.493256262042396</x:v>
      </x:c>
      <x:c r="O161" s="15" t="n">
        <x:v>103199.35</x:v>
      </x:c>
      <x:c r="P161" s="15" t="n">
        <x:v>432391.01099</x:v>
      </x:c>
      <x:c r="Q161" s="15" t="n">
        <x:v>3102</x:v>
      </x:c>
      <x:c r="R161" s="15" t="n">
        <x:v>6.348921216829351</x:v>
      </x:c>
      <x:c r="S161" s="15" t="n">
        <x:v>0.21443888491781138</x:v>
      </x:c>
      <x:c r="T161" s="15" t="n">
        <x:v>-0.030360850249655513</x:v>
      </x:c>
      <x:c r="U161" s="15" t="n">
        <x:v>0.19020446980504424</x:v>
      </x:c>
    </x:row>
    <x:row r="162">
      <x:c r="A162" s="13" t="str">
        <x:v>all_360</x:v>
      </x:c>
      <x:c r="B162" s="36" t="n">
        <x:v>45923.333333333336</x:v>
      </x:c>
      <x:c r="C162" s="36" t="n">
        <x:v>45923.416666666664</x:v>
      </x:c>
      <x:c r="D162" s="15" t="n">
        <x:v>59350.713892</x:v>
      </x:c>
      <x:c r="E162" s="15" t="n">
        <x:v>61582.688098</x:v>
      </x:c>
      <x:c r="F162" s="15" t="n">
        <x:v>120933.40199</x:v>
      </x:c>
      <x:c r="G162" s="15" t="n">
        <x:v>-2231.974205999999</x:v>
      </x:c>
      <x:c r="H162" s="15" t="n">
        <x:v>171070.23078399998</x:v>
      </x:c>
      <x:c r="I162" s="15" t="n">
        <x:v>230420.94467599998</x:v>
      </x:c>
      <x:c r="J162" s="15" t="n">
        <x:v>8770.409322</x:v>
      </x:c>
      <x:c r="K162" s="15" t="n">
        <x:v>23910.266914</x:v>
      </x:c>
      <x:c r="L162" s="15" t="n">
        <x:v>32680.676236</x:v>
      </x:c>
      <x:c r="M162" s="15" t="n">
        <x:v>-15139.857592</x:v>
      </x:c>
      <x:c r="N162" s="15" t="n">
        <x:v>1.122790253225029</x:v>
      </x:c>
      <x:c r="O162" s="15" t="n">
        <x:v>75476.01</x:v>
      </x:c>
      <x:c r="P162" s="15" t="n">
        <x:v>316602.90375</x:v>
      </x:c>
      <x:c r="Q162" s="15" t="n">
        <x:v>2501</x:v>
      </x:c>
      <x:c r="R162" s="15" t="n">
        <x:v>6.244025649000329</x:v>
      </x:c>
      <x:c r="S162" s="15" t="n">
        <x:v>0.16718414139003102</x:v>
      </x:c>
      <x:c r="T162" s="15" t="n">
        <x:v>-0.006804702112761518</x:v>
      </x:c>
      <x:c r="U162" s="15" t="n">
        <x:v>0.1905215527506554</x:v>
      </x:c>
    </x:row>
    <x:row r="163">
      <x:c r="A163" s="13" t="str">
        <x:v>all_360</x:v>
      </x:c>
      <x:c r="B163" s="36" t="n">
        <x:v>45923.416666666664</x:v>
      </x:c>
      <x:c r="C163" s="36" t="n">
        <x:v>45923.5</x:v>
      </x:c>
      <x:c r="D163" s="15" t="n">
        <x:v>29570.900518</x:v>
      </x:c>
      <x:c r="E163" s="15" t="n">
        <x:v>30458.443268</x:v>
      </x:c>
      <x:c r="F163" s="15" t="n">
        <x:v>60029.343786</x:v>
      </x:c>
      <x:c r="G163" s="15" t="n">
        <x:v>-887.5427500000005</x:v>
      </x:c>
      <x:c r="H163" s="15" t="n">
        <x:v>178128.916464</x:v>
      </x:c>
      <x:c r="I163" s="15" t="n">
        <x:v>207699.81698200002</x:v>
      </x:c>
      <x:c r="J163" s="15" t="n">
        <x:v>5438.74981</x:v>
      </x:c>
      <x:c r="K163" s="15" t="n">
        <x:v>4897.339944</x:v>
      </x:c>
      <x:c r="L163" s="15" t="n">
        <x:v>10336.089754</x:v>
      </x:c>
      <x:c r="M163" s="15" t="n">
        <x:v>541.409866</x:v>
      </x:c>
      <x:c r="N163" s="15" t="n">
        <x:v>0.5505026328386926</x:v>
      </x:c>
      <x:c r="O163" s="15" t="n">
        <x:v>82882.28</x:v>
      </x:c>
      <x:c r="P163" s="15" t="n">
        <x:v>347185.02376</x:v>
      </x:c>
      <x:c r="Q163" s="15" t="n">
        <x:v>3237</x:v>
      </x:c>
      <x:c r="R163" s="15" t="n">
        <x:v>5.0380254184348106</x:v>
      </x:c>
      <x:c r="S163" s="15" t="n">
        <x:v>0.26221692491060766</x:v>
      </x:c>
      <x:c r="T163" s="15" t="n">
        <x:v>-0.021550271426118428</x:v>
      </x:c>
      <x:c r="U163" s="15" t="n">
        <x:v>0.1908396946564861</x:v>
      </x:c>
    </x:row>
    <x:row r="164">
      <x:c r="A164" s="13" t="str">
        <x:v>all_360</x:v>
      </x:c>
      <x:c r="B164" s="36" t="n">
        <x:v>45923.5</x:v>
      </x:c>
      <x:c r="C164" s="36" t="n">
        <x:v>45923.583333333336</x:v>
      </x:c>
      <x:c r="D164" s="15" t="n">
        <x:v>194109.03553000002</x:v>
      </x:c>
      <x:c r="E164" s="15" t="n">
        <x:v>193009.997931</x:v>
      </x:c>
      <x:c r="F164" s="15" t="n">
        <x:v>387119.033461</x:v>
      </x:c>
      <x:c r="G164" s="15" t="n">
        <x:v>1099.037599000032</x:v>
      </x:c>
      <x:c r="H164" s="15" t="n">
        <x:v>531275.427099</x:v>
      </x:c>
      <x:c r="I164" s="15" t="n">
        <x:v>725384.462629</x:v>
      </x:c>
      <x:c r="J164" s="15" t="n">
        <x:v>9862.403444</x:v>
      </x:c>
      <x:c r="K164" s="15" t="n">
        <x:v>10771.739288</x:v>
      </x:c>
      <x:c r="L164" s="15" t="n">
        <x:v>20634.142732</x:v>
      </x:c>
      <x:c r="M164" s="15" t="n">
        <x:v>-909.3358440000011</x:v>
      </x:c>
      <x:c r="N164" s="15" t="n">
        <x:v>0.9310097875388063</x:v>
      </x:c>
      <x:c r="O164" s="15" t="n">
        <x:v>131205.82</x:v>
      </x:c>
      <x:c r="P164" s="15" t="n">
        <x:v>550531.16944</x:v>
      </x:c>
      <x:c r="Q164" s="15" t="n">
        <x:v>4526</x:v>
      </x:c>
      <x:c r="R164" s="15" t="n">
        <x:v>7.105377306856719</x:v>
      </x:c>
      <x:c r="S164" s="15" t="n">
        <x:v>0.31011450381679406</x:v>
      </x:c>
      <x:c r="T164" s="15" t="n">
        <x:v>0.015703556540347385</x:v>
      </x:c>
      <x:c r="U164" s="15" t="n">
        <x:v>0.19129603060736855</x:v>
      </x:c>
    </x:row>
    <x:row r="165">
      <x:c r="A165" s="13" t="str">
        <x:v>all_360</x:v>
      </x:c>
      <x:c r="B165" s="36" t="n">
        <x:v>45923.583333333336</x:v>
      </x:c>
      <x:c r="C165" s="36" t="n">
        <x:v>45923.666666666664</x:v>
      </x:c>
      <x:c r="D165" s="15" t="n">
        <x:v>47132.697928</x:v>
      </x:c>
      <x:c r="E165" s="15" t="n">
        <x:v>49353.743536</x:v>
      </x:c>
      <x:c r="F165" s="15" t="n">
        <x:v>96486.441464</x:v>
      </x:c>
      <x:c r="G165" s="15" t="n">
        <x:v>-2221.0456080000004</x:v>
      </x:c>
      <x:c r="H165" s="15" t="n">
        <x:v>504935.755402</x:v>
      </x:c>
      <x:c r="I165" s="15" t="n">
        <x:v>552068.4533299999</x:v>
      </x:c>
      <x:c r="J165" s="15" t="n">
        <x:v>9266.893834</x:v>
      </x:c>
      <x:c r="K165" s="15" t="n">
        <x:v>13570.206076</x:v>
      </x:c>
      <x:c r="L165" s="15" t="n">
        <x:v>22837.09991</x:v>
      </x:c>
      <x:c r="M165" s="15" t="n">
        <x:v>-4303.312242</x:v>
      </x:c>
      <x:c r="N165" s="15" t="n">
        <x:v>1.2203876525484603</x:v>
      </x:c>
      <x:c r="O165" s="15" t="n">
        <x:v>117893.69</x:v>
      </x:c>
      <x:c r="P165" s="15" t="n">
        <x:v>492929.63861</x:v>
      </x:c>
      <x:c r="Q165" s="15" t="n">
        <x:v>4179</x:v>
      </x:c>
      <x:c r="R165" s="15" t="n">
        <x:v>8.106546137007985</x:v>
      </x:c>
      <x:c r="S165" s="15" t="n">
        <x:v>0.2151565861821525</x:v>
      </x:c>
      <x:c r="T165" s="15" t="n">
        <x:v>0.00021023634345640474</x:v>
      </x:c>
      <x:c r="U165" s="15" t="n">
        <x:v>0.1681883709754861</x:v>
      </x:c>
    </x:row>
    <x:row r="166">
      <x:c r="A166" s="13" t="str">
        <x:v>all_360</x:v>
      </x:c>
      <x:c r="B166" s="36" t="n">
        <x:v>45923.666666666664</x:v>
      </x:c>
      <x:c r="C166" s="36" t="n">
        <x:v>45923.75</x:v>
      </x:c>
      <x:c r="D166" s="15" t="n">
        <x:v>49038.947509</x:v>
      </x:c>
      <x:c r="E166" s="15" t="n">
        <x:v>36066.971088</x:v>
      </x:c>
      <x:c r="F166" s="15" t="n">
        <x:v>85105.918597</x:v>
      </x:c>
      <x:c r="G166" s="15" t="n">
        <x:v>12971.976421</x:v>
      </x:c>
      <x:c r="H166" s="15" t="n">
        <x:v>117267.15290100001</x:v>
      </x:c>
      <x:c r="I166" s="15" t="n">
        <x:v>166306.10041</x:v>
      </x:c>
      <x:c r="J166" s="15" t="n">
        <x:v>8051.114134</x:v>
      </x:c>
      <x:c r="K166" s="15" t="n">
        <x:v>8857.206723</x:v>
      </x:c>
      <x:c r="L166" s="15" t="n">
        <x:v>16908.320857</x:v>
      </x:c>
      <x:c r="M166" s="15" t="n">
        <x:v>-806.092588999999</x:v>
      </x:c>
      <x:c r="N166" s="15" t="n">
        <x:v>1.600191067590164</x:v>
      </x:c>
      <x:c r="O166" s="15" t="n">
        <x:v>102588.42</x:v>
      </x:c>
      <x:c r="P166" s="15" t="n">
        <x:v>429710.62102</x:v>
      </x:c>
      <x:c r="Q166" s="15" t="n">
        <x:v>3355</x:v>
      </x:c>
      <x:c r="R166" s="15" t="n">
        <x:v>8.291743734080924</x:v>
      </x:c>
      <x:c r="S166" s="15" t="n">
        <x:v>0.23957834211788542</x:v>
      </x:c>
      <x:c r="T166" s="15" t="n">
        <x:v>-0.024330787915083363</x:v>
      </x:c>
      <x:c r="U166" s="15" t="n">
        <x:v>0.14371257485030764</x:v>
      </x:c>
    </x:row>
    <x:row r="167">
      <x:c r="A167" s="13" t="str">
        <x:v>all_360</x:v>
      </x:c>
      <x:c r="B167" s="36" t="n">
        <x:v>45923.75</x:v>
      </x:c>
      <x:c r="C167" s="36" t="n">
        <x:v>45923.833333333336</x:v>
      </x:c>
      <x:c r="D167" s="15" t="n">
        <x:v>72903.035091</x:v>
      </x:c>
      <x:c r="E167" s="15" t="n">
        <x:v>85153.131844</x:v>
      </x:c>
      <x:c r="F167" s="15" t="n">
        <x:v>158056.166935</x:v>
      </x:c>
      <x:c r="G167" s="15" t="n">
        <x:v>-12250.096753000005</x:v>
      </x:c>
      <x:c r="H167" s="15" t="n">
        <x:v>243829.378299</x:v>
      </x:c>
      <x:c r="I167" s="15" t="n">
        <x:v>316732.41339</x:v>
      </x:c>
      <x:c r="J167" s="15" t="n">
        <x:v>7277.924539000001</x:v>
      </x:c>
      <x:c r="K167" s="15" t="n">
        <x:v>6887.831586</x:v>
      </x:c>
      <x:c r="L167" s="15" t="n">
        <x:v>14165.756125</x:v>
      </x:c>
      <x:c r="M167" s="15" t="n">
        <x:v>390.0929530000003</x:v>
      </x:c>
      <x:c r="N167" s="15" t="n">
        <x:v>0.9130225852955371</x:v>
      </x:c>
      <x:c r="O167" s="15" t="n">
        <x:v>103116.93000000001</x:v>
      </x:c>
      <x:c r="P167" s="15" t="n">
        <x:v>429365.72913</x:v>
      </x:c>
      <x:c r="Q167" s="15" t="n">
        <x:v>3434</x:v>
      </x:c>
      <x:c r="R167" s="15" t="n">
        <x:v>7.178318355447977</x:v>
      </x:c>
      <x:c r="S167" s="15" t="n">
        <x:v>0.23900573613766518</x:v>
      </x:c>
      <x:c r="T167" s="15" t="n">
        <x:v>-0.03297443618495155</x:v>
      </x:c>
      <x:c r="U167" s="15" t="n">
        <x:v>0.1204819277108582</x:v>
      </x:c>
    </x:row>
    <x:row r="168">
      <x:c r="A168" s="13" t="str">
        <x:v>all_360</x:v>
      </x:c>
      <x:c r="B168" s="36" t="n">
        <x:v>45923.833333333336</x:v>
      </x:c>
      <x:c r="C168" s="36" t="n">
        <x:v>45923.916666666664</x:v>
      </x:c>
      <x:c r="D168" s="15" t="n">
        <x:v>10843.71477</x:v>
      </x:c>
      <x:c r="E168" s="15" t="n">
        <x:v>9553.9416</x:v>
      </x:c>
      <x:c r="F168" s="15" t="n">
        <x:v>20397.65637</x:v>
      </x:c>
      <x:c r="G168" s="15" t="n">
        <x:v>1289.7731700000004</x:v>
      </x:c>
      <x:c r="H168" s="15" t="n">
        <x:v>189468.729029</x:v>
      </x:c>
      <x:c r="I168" s="15" t="n">
        <x:v>200312.443799</x:v>
      </x:c>
      <x:c r="J168" s="15" t="n">
        <x:v>12119.006073</x:v>
      </x:c>
      <x:c r="K168" s="15" t="n">
        <x:v>13480.165555</x:v>
      </x:c>
      <x:c r="L168" s="15" t="n">
        <x:v>25599.171628</x:v>
      </x:c>
      <x:c r="M168" s="15" t="n">
        <x:v>-1361.1594819999991</x:v>
      </x:c>
      <x:c r="N168" s="15" t="n">
        <x:v>1.0838150289017323</x:v>
      </x:c>
      <x:c r="O168" s="15" t="n">
        <x:v>81361.99</x:v>
      </x:c>
      <x:c r="P168" s="15" t="n">
        <x:v>337810.48328</x:v>
      </x:c>
      <x:c r="Q168" s="15" t="n">
        <x:v>2930</x:v>
      </x:c>
      <x:c r="R168" s="15" t="n">
        <x:v>6.887207315413768</x:v>
      </x:c>
      <x:c r="S168" s="15" t="n">
        <x:v>0.19230769230769162</x:v>
      </x:c>
      <x:c r="T168" s="15" t="n">
        <x:v>0</x:v>
      </x:c>
      <x:c r="U168" s="15" t="n">
        <x:v>0.16883743367099857</x:v>
      </x:c>
    </x:row>
    <x:row r="169">
      <x:c r="A169" s="13" t="str">
        <x:v>all_360</x:v>
      </x:c>
      <x:c r="B169" s="36" t="n">
        <x:v>45923.916666666664</x:v>
      </x:c>
      <x:c r="C169" s="36" t="n">
        <x:v>45924</x:v>
      </x:c>
      <x:c r="D169" s="15" t="n">
        <x:v>70910.517192</x:v>
      </x:c>
      <x:c r="E169" s="15" t="n">
        <x:v>71484.554017</x:v>
      </x:c>
      <x:c r="F169" s="15" t="n">
        <x:v>142395.07120900002</x:v>
      </x:c>
      <x:c r="G169" s="15" t="n">
        <x:v>-574.0368250000029</x:v>
      </x:c>
      <x:c r="H169" s="15" t="n">
        <x:v>201630.794034</x:v>
      </x:c>
      <x:c r="I169" s="15" t="n">
        <x:v>272541.31122599996</x:v>
      </x:c>
      <x:c r="J169" s="15" t="n">
        <x:v>5450.389584</x:v>
      </x:c>
      <x:c r="K169" s="15" t="n">
        <x:v>7818.4736920000005</x:v>
      </x:c>
      <x:c r="L169" s="15" t="n">
        <x:v>13268.863276</x:v>
      </x:c>
      <x:c r="M169" s="15" t="n">
        <x:v>-2368.084108000001</x:v>
      </x:c>
      <x:c r="N169" s="15" t="n">
        <x:v>1.3189448441246934</x:v>
      </x:c>
      <x:c r="O169" s="15" t="n">
        <x:v>76458.81999999999</x:v>
      </x:c>
      <x:c r="P169" s="15" t="n">
        <x:v>316975.82237</x:v>
      </x:c>
      <x:c r="Q169" s="15" t="n">
        <x:v>2894</x:v>
      </x:c>
      <x:c r="R169" s="15" t="n">
        <x:v>5.449357049442005</x:v>
      </x:c>
      <x:c r="S169" s="15" t="n">
        <x:v>0.24125452352231624</x:v>
      </x:c>
      <x:c r="T169" s="15" t="n">
        <x:v>-0.005215416222248415</x:v>
      </x:c>
      <x:c r="U169" s="15" t="n">
        <x:v>0.1210653753026647</x:v>
      </x:c>
    </x:row>
    <x:row r="170">
      <x:c r="A170" s="13" t="str">
        <x:v>all_360</x:v>
      </x:c>
      <x:c r="B170" s="36" t="n">
        <x:v>45924</x:v>
      </x:c>
      <x:c r="C170" s="36" t="n">
        <x:v>45924.083333333336</x:v>
      </x:c>
      <x:c r="D170" s="15" t="n">
        <x:v>27097.090446</x:v>
      </x:c>
      <x:c r="E170" s="15" t="n">
        <x:v>26324.9471</x:v>
      </x:c>
      <x:c r="F170" s="15" t="n">
        <x:v>53422.037546</x:v>
      </x:c>
      <x:c r="G170" s="15" t="n">
        <x:v>772.1433459999971</x:v>
      </x:c>
      <x:c r="H170" s="15" t="n">
        <x:v>162062.262325</x:v>
      </x:c>
      <x:c r="I170" s="15" t="n">
        <x:v>189159.35277099998</x:v>
      </x:c>
      <x:c r="J170" s="15" t="n">
        <x:v>17688.588147</x:v>
      </x:c>
      <x:c r="K170" s="15" t="n">
        <x:v>3920.442447</x:v>
      </x:c>
      <x:c r="L170" s="15" t="n">
        <x:v>21609.030594</x:v>
      </x:c>
      <x:c r="M170" s="15" t="n">
        <x:v>13768.1457</x:v>
      </x:c>
      <x:c r="N170" s="15" t="n">
        <x:v>1.5019379844961307</x:v>
      </x:c>
      <x:c r="O170" s="15" t="n">
        <x:v>57629.840000000004</x:v>
      </x:c>
      <x:c r="P170" s="15" t="n">
        <x:v>239472.9916</x:v>
      </x:c>
      <x:c r="Q170" s="15" t="n">
        <x:v>2157</x:v>
      </x:c>
      <x:c r="R170" s="15" t="n">
        <x:v>5.342638362789476</x:v>
      </x:c>
      <x:c r="S170" s="15" t="n">
        <x:v>0.16851227732305185</x:v>
      </x:c>
      <x:c r="T170" s="15" t="n">
        <x:v>0.0011296390997617145</x:v>
      </x:c>
      <x:c r="U170" s="15" t="n">
        <x:v>0.1452432824981864</x:v>
      </x:c>
    </x:row>
    <x:row r="171">
      <x:c r="A171" s="13" t="str">
        <x:v>all_360</x:v>
      </x:c>
      <x:c r="B171" s="36" t="n">
        <x:v>45924.083333333336</x:v>
      </x:c>
      <x:c r="C171" s="36" t="n">
        <x:v>45924.166666666664</x:v>
      </x:c>
      <x:c r="D171" s="15" t="n">
        <x:v>211852.496587</x:v>
      </x:c>
      <x:c r="E171" s="15" t="n">
        <x:v>206711.847305</x:v>
      </x:c>
      <x:c r="F171" s="15" t="n">
        <x:v>418564.34389200003</x:v>
      </x:c>
      <x:c r="G171" s="15" t="n">
        <x:v>5140.6492819999985</x:v>
      </x:c>
      <x:c r="H171" s="15" t="n">
        <x:v>138440.215923</x:v>
      </x:c>
      <x:c r="I171" s="15" t="n">
        <x:v>350292.71251</x:v>
      </x:c>
      <x:c r="J171" s="15" t="n">
        <x:v>4168.305442</x:v>
      </x:c>
      <x:c r="K171" s="15" t="n">
        <x:v>10180.611521</x:v>
      </x:c>
      <x:c r="L171" s="15" t="n">
        <x:v>14348.916963</x:v>
      </x:c>
      <x:c r="M171" s="15" t="n">
        <x:v>-6012.306079000001</x:v>
      </x:c>
      <x:c r="N171" s="15" t="n">
        <x:v>1.8416646735230795</x:v>
      </x:c>
      <x:c r="O171" s="15" t="n">
        <x:v>103765.54</x:v>
      </x:c>
      <x:c r="P171" s="15" t="n">
        <x:v>429862.90176000004</x:v>
      </x:c>
      <x:c r="Q171" s="15" t="n">
        <x:v>3750</x:v>
      </x:c>
      <x:c r="R171" s="15" t="n">
        <x:v>7.352419783672093</x:v>
      </x:c>
      <x:c r="S171" s="15" t="n">
        <x:v>0.21775949673361605</x:v>
      </x:c>
      <x:c r="T171" s="15" t="n">
        <x:v>-0.02792017048760531</x:v>
      </x:c>
      <x:c r="U171" s="15" t="n">
        <x:v>0.1211827435773083</x:v>
      </x:c>
    </x:row>
    <x:row r="172">
      <x:c r="A172" s="13" t="str">
        <x:v>all_360</x:v>
      </x:c>
      <x:c r="B172" s="36" t="n">
        <x:v>45924.166666666664</x:v>
      </x:c>
      <x:c r="C172" s="36" t="n">
        <x:v>45924.25</x:v>
      </x:c>
      <x:c r="D172" s="15" t="n">
        <x:v>38657.298905</x:v>
      </x:c>
      <x:c r="E172" s="15" t="n">
        <x:v>44139.313449</x:v>
      </x:c>
      <x:c r="F172" s="15" t="n">
        <x:v>82796.61235400001</x:v>
      </x:c>
      <x:c r="G172" s="15" t="n">
        <x:v>-5482.014543999998</x:v>
      </x:c>
      <x:c r="H172" s="15" t="n">
        <x:v>212070.27355</x:v>
      </x:c>
      <x:c r="I172" s="15" t="n">
        <x:v>250727.57245500002</x:v>
      </x:c>
      <x:c r="J172" s="15" t="n">
        <x:v>21971.551813000002</x:v>
      </x:c>
      <x:c r="K172" s="15" t="n">
        <x:v>5717.5892730000005</x:v>
      </x:c>
      <x:c r="L172" s="15" t="n">
        <x:v>27689.141086000003</x:v>
      </x:c>
      <x:c r="M172" s="15" t="n">
        <x:v>16253.96254</x:v>
      </x:c>
      <x:c r="N172" s="15" t="n">
        <x:v>2.9890643985419034</x:v>
      </x:c>
      <x:c r="O172" s="15" t="n">
        <x:v>199030.72</x:v>
      </x:c>
      <x:c r="P172" s="15" t="n">
        <x:v>822837.94956</x:v>
      </x:c>
      <x:c r="Q172" s="15" t="n">
        <x:v>5390</x:v>
      </x:c>
      <x:c r="R172" s="15" t="n">
        <x:v>8.757263944414406</x:v>
      </x:c>
      <x:c r="S172" s="15" t="n">
        <x:v>0.1685934489402796</x:v>
      </x:c>
      <x:c r="T172" s="15" t="n">
        <x:v>-0.0020803872595731576</x:v>
      </x:c>
      <x:c r="U172" s="15" t="n">
        <x:v>0.12233912405187342</x:v>
      </x:c>
    </x:row>
    <x:row r="173">
      <x:c r="A173" s="13" t="str">
        <x:v>all_360</x:v>
      </x:c>
      <x:c r="B173" s="36" t="n">
        <x:v>45924.25</x:v>
      </x:c>
      <x:c r="C173" s="36" t="n">
        <x:v>45924.333333333336</x:v>
      </x:c>
      <x:c r="D173" s="15" t="n">
        <x:v>21883.269476</x:v>
      </x:c>
      <x:c r="E173" s="15" t="n">
        <x:v>19208.944273</x:v>
      </x:c>
      <x:c r="F173" s="15" t="n">
        <x:v>41092.213749</x:v>
      </x:c>
      <x:c r="G173" s="15" t="n">
        <x:v>2674.3252030000003</x:v>
      </x:c>
      <x:c r="H173" s="15" t="n">
        <x:v>15764.0334</x:v>
      </x:c>
      <x:c r="I173" s="15" t="n">
        <x:v>37647.302876</x:v>
      </x:c>
      <x:c r="J173" s="15" t="n">
        <x:v>8346.768817</x:v>
      </x:c>
      <x:c r="K173" s="15" t="n">
        <x:v>5542.389085</x:v>
      </x:c>
      <x:c r="L173" s="15" t="n">
        <x:v>13889.157901999999</x:v>
      </x:c>
      <x:c r="M173" s="15" t="n">
        <x:v>2804.3797320000003</x:v>
      </x:c>
      <x:c r="N173" s="15" t="n">
        <x:v>0.9782868050584462</x:v>
      </x:c>
      <x:c r="O173" s="15" t="n">
        <x:v>180825.53</x:v>
      </x:c>
      <x:c r="P173" s="15" t="n">
        <x:v>757634.76758</x:v>
      </x:c>
      <x:c r="Q173" s="15" t="n">
        <x:v>3839</x:v>
      </x:c>
      <x:c r="R173" s="15" t="n">
        <x:v>6.872938941939588</x:v>
      </x:c>
      <x:c r="S173" s="15" t="n">
        <x:v>0.1675843907110286</x:v>
      </x:c>
      <x:c r="T173" s="15" t="n">
        <x:v>0.007711988619230059</x:v>
      </x:c>
      <x:c r="U173" s="15" t="n">
        <x:v>0.1435750179468842</x:v>
      </x:c>
    </x:row>
    <x:row r="174">
      <x:c r="A174" s="13" t="str">
        <x:v>all_360</x:v>
      </x:c>
      <x:c r="B174" s="36" t="n">
        <x:v>45924.333333333336</x:v>
      </x:c>
      <x:c r="C174" s="36" t="n">
        <x:v>45924.416666666664</x:v>
      </x:c>
      <x:c r="D174" s="15" t="n">
        <x:v>68305.441779</x:v>
      </x:c>
      <x:c r="E174" s="15" t="n">
        <x:v>59226.242278</x:v>
      </x:c>
      <x:c r="F174" s="15" t="n">
        <x:v>127531.684057</x:v>
      </x:c>
      <x:c r="G174" s="15" t="n">
        <x:v>9079.199501000003</x:v>
      </x:c>
      <x:c r="H174" s="15" t="n">
        <x:v>110484.949882</x:v>
      </x:c>
      <x:c r="I174" s="15" t="n">
        <x:v>178790.391661</x:v>
      </x:c>
      <x:c r="J174" s="15" t="n">
        <x:v>9630.3048</x:v>
      </x:c>
      <x:c r="K174" s="15" t="n">
        <x:v>5976.7373210000005</x:v>
      </x:c>
      <x:c r="L174" s="15" t="n">
        <x:v>15607.042121</x:v>
      </x:c>
      <x:c r="M174" s="15" t="n">
        <x:v>3653.5674789999994</x:v>
      </x:c>
      <x:c r="N174" s="15" t="n">
        <x:v>0.66746126340881</x:v>
      </x:c>
      <x:c r="O174" s="15" t="n">
        <x:v>77749.77</x:v>
      </x:c>
      <x:c r="P174" s="15" t="n">
        <x:v>326770.05456</x:v>
      </x:c>
      <x:c r="Q174" s="15" t="n">
        <x:v>2761</x:v>
      </x:c>
      <x:c r="R174" s="15" t="n">
        <x:v>5.330201429491921</x:v>
      </x:c>
      <x:c r="S174" s="15" t="n">
        <x:v>0.09535160905841389</x:v>
      </x:c>
      <x:c r="T174" s="15" t="n">
        <x:v>-0.028045612646310225</x:v>
      </x:c>
      <x:c r="U174" s="15" t="n">
        <x:v>0.11899095668729265</x:v>
      </x:c>
    </x:row>
    <x:row r="175">
      <x:c r="A175" s="13" t="str">
        <x:v>all_360</x:v>
      </x:c>
      <x:c r="B175" s="36" t="n">
        <x:v>45924.416666666664</x:v>
      </x:c>
      <x:c r="C175" s="36" t="n">
        <x:v>45924.5</x:v>
      </x:c>
      <x:c r="D175" s="15" t="n">
        <x:v>22499.559842</x:v>
      </x:c>
      <x:c r="E175" s="15" t="n">
        <x:v>23068.815859000002</x:v>
      </x:c>
      <x:c r="F175" s="15" t="n">
        <x:v>45568.375701</x:v>
      </x:c>
      <x:c r="G175" s="15" t="n">
        <x:v>-569.2560170000033</x:v>
      </x:c>
      <x:c r="H175" s="15" t="n">
        <x:v>200394.970409</x:v>
      </x:c>
      <x:c r="I175" s="15" t="n">
        <x:v>222894.530251</x:v>
      </x:c>
      <x:c r="J175" s="15" t="n">
        <x:v>5163.2697370000005</x:v>
      </x:c>
      <x:c r="K175" s="15" t="n">
        <x:v>6723.125223</x:v>
      </x:c>
      <x:c r="L175" s="15" t="n">
        <x:v>11886.394960000001</x:v>
      </x:c>
      <x:c r="M175" s="15" t="n">
        <x:v>-1559.8554859999995</x:v>
      </x:c>
      <x:c r="N175" s="15" t="n">
        <x:v>0.6168446026097224</x:v>
      </x:c>
      <x:c r="O175" s="15" t="n">
        <x:v>100047.33</x:v>
      </x:c>
      <x:c r="P175" s="15" t="n">
        <x:v>421501.58376999997</x:v>
      </x:c>
      <x:c r="Q175" s="15" t="n">
        <x:v>2577</x:v>
      </x:c>
      <x:c r="R175" s="15" t="n">
        <x:v>5.080624755681895</x:v>
      </x:c>
      <x:c r="S175" s="15" t="n">
        <x:v>0.11856770215793455</x:v>
      </x:c>
      <x:c r="T175" s="15" t="n">
        <x:v>-0.04691892296078137</x:v>
      </x:c>
      <x:c r="U175" s="15" t="n">
        <x:v>0.09487666034156961</x:v>
      </x:c>
    </x:row>
    <x:row r="176">
      <x:c r="A176" s="13" t="str">
        <x:v>all_360</x:v>
      </x:c>
      <x:c r="B176" s="36" t="n">
        <x:v>45924.5</x:v>
      </x:c>
      <x:c r="C176" s="36" t="n">
        <x:v>45924.583333333336</x:v>
      </x:c>
      <x:c r="D176" s="15" t="n">
        <x:v>33227.892592000004</x:v>
      </x:c>
      <x:c r="E176" s="15" t="n">
        <x:v>26520.020387</x:v>
      </x:c>
      <x:c r="F176" s="15" t="n">
        <x:v>59747.912979</x:v>
      </x:c>
      <x:c r="G176" s="15" t="n">
        <x:v>6707.872205000003</x:v>
      </x:c>
      <x:c r="H176" s="15" t="n">
        <x:v>381158.63654599997</x:v>
      </x:c>
      <x:c r="I176" s="15" t="n">
        <x:v>414386.529138</x:v>
      </x:c>
      <x:c r="J176" s="15" t="n">
        <x:v>6406.89675</x:v>
      </x:c>
      <x:c r="K176" s="15" t="n">
        <x:v>6671.868221</x:v>
      </x:c>
      <x:c r="L176" s="15" t="n">
        <x:v>13078.764971</x:v>
      </x:c>
      <x:c r="M176" s="15" t="n">
        <x:v>-264.97147099999984</x:v>
      </x:c>
      <x:c r="N176" s="15" t="n">
        <x:v>1.0663507109004722</x:v>
      </x:c>
      <x:c r="O176" s="15" t="n">
        <x:v>124772.02</x:v>
      </x:c>
      <x:c r="P176" s="15" t="n">
        <x:v>524680.64815</x:v>
      </x:c>
      <x:c r="Q176" s="15" t="n">
        <x:v>2864</x:v>
      </x:c>
      <x:c r="R176" s="15" t="n">
        <x:v>5.197852862289909</x:v>
      </x:c>
      <x:c r="S176" s="15" t="n">
        <x:v>0.2610346464167135</x:v>
      </x:c>
      <x:c r="T176" s="15" t="n">
        <x:v>0.09546539379475805</x:v>
      </x:c>
      <x:c r="U176" s="15" t="n">
        <x:v>0.16694490818028873</x:v>
      </x:c>
    </x:row>
    <x:row r="177">
      <x:c r="A177" s="13" t="str">
        <x:v>all_360</x:v>
      </x:c>
      <x:c r="B177" s="36" t="n">
        <x:v>45924.583333333336</x:v>
      </x:c>
      <x:c r="C177" s="36" t="n">
        <x:v>45924.666666666664</x:v>
      </x:c>
      <x:c r="D177" s="15" t="n">
        <x:v>72526.425888</x:v>
      </x:c>
      <x:c r="E177" s="15" t="n">
        <x:v>74862.108333</x:v>
      </x:c>
      <x:c r="F177" s="15" t="n">
        <x:v>147388.53422099998</x:v>
      </x:c>
      <x:c r="G177" s="15" t="n">
        <x:v>-2335.6824449999986</x:v>
      </x:c>
      <x:c r="H177" s="15" t="n">
        <x:v>435495.587762</x:v>
      </x:c>
      <x:c r="I177" s="15" t="n">
        <x:v>508022.01365</x:v>
      </x:c>
      <x:c r="J177" s="15" t="n">
        <x:v>8833.95751</x:v>
      </x:c>
      <x:c r="K177" s="15" t="n">
        <x:v>17178.115863</x:v>
      </x:c>
      <x:c r="L177" s="15" t="n">
        <x:v>26012.073373</x:v>
      </x:c>
      <x:c r="M177" s="15" t="n">
        <x:v>-8344.158352999999</x:v>
      </x:c>
      <x:c r="N177" s="15" t="n">
        <x:v>1.385570950788338</x:v>
      </x:c>
      <x:c r="O177" s="15" t="n">
        <x:v>187082.63</x:v>
      </x:c>
      <x:c r="P177" s="15" t="n">
        <x:v>784419.62848</x:v>
      </x:c>
      <x:c r="Q177" s="15" t="n">
        <x:v>5323</x:v>
      </x:c>
      <x:c r="R177" s="15" t="n">
        <x:v>7.575100795525014</x:v>
      </x:c>
      <x:c r="S177" s="15" t="n">
        <x:v>0.2379819133745742</x:v>
      </x:c>
      <x:c r="T177" s="15" t="n">
        <x:v>0.0719597025665486</x:v>
      </x:c>
      <x:c r="U177" s="15" t="n">
        <x:v>0.1667063586568207</x:v>
      </x:c>
    </x:row>
    <x:row r="178">
      <x:c r="A178" s="13" t="str">
        <x:v>all_360</x:v>
      </x:c>
      <x:c r="B178" s="36" t="n">
        <x:v>45924.666666666664</x:v>
      </x:c>
      <x:c r="C178" s="36" t="n">
        <x:v>45924.75</x:v>
      </x:c>
      <x:c r="D178" s="15" t="n">
        <x:v>75580.407675</x:v>
      </x:c>
      <x:c r="E178" s="15" t="n">
        <x:v>74874.311284</x:v>
      </x:c>
      <x:c r="F178" s="15" t="n">
        <x:v>150454.718959</x:v>
      </x:c>
      <x:c r="G178" s="15" t="n">
        <x:v>706.0963909999991</x:v>
      </x:c>
      <x:c r="H178" s="15" t="n">
        <x:v>121522.993622</x:v>
      </x:c>
      <x:c r="I178" s="15" t="n">
        <x:v>197103.401297</x:v>
      </x:c>
      <x:c r="J178" s="15" t="n">
        <x:v>43960.012814</x:v>
      </x:c>
      <x:c r="K178" s="15" t="n">
        <x:v>15465.180198</x:v>
      </x:c>
      <x:c r="L178" s="15" t="n">
        <x:v>59425.193012</x:v>
      </x:c>
      <x:c r="M178" s="15" t="n">
        <x:v>28494.832616</x:v>
      </x:c>
      <x:c r="N178" s="15" t="n">
        <x:v>0.7187350263536235</x:v>
      </x:c>
      <x:c r="O178" s="15" t="n">
        <x:v>69149.56</x:v>
      </x:c>
      <x:c r="P178" s="15" t="n">
        <x:v>289161.50474</x:v>
      </x:c>
      <x:c r="Q178" s="15" t="n">
        <x:v>2783</x:v>
      </x:c>
      <x:c r="R178" s="15" t="n">
        <x:v>6.096866454860805</x:v>
      </x:c>
      <x:c r="S178" s="15" t="n">
        <x:v>0.19143335726250488</x:v>
      </x:c>
      <x:c r="T178" s="15" t="n">
        <x:v>-0.0071091177998194865</x:v>
      </x:c>
      <x:c r="U178" s="15" t="n">
        <x:v>0.19161676646706205</x:v>
      </x:c>
    </x:row>
    <x:row r="179">
      <x:c r="A179" s="13" t="str">
        <x:v>all_360</x:v>
      </x:c>
      <x:c r="B179" s="36" t="n">
        <x:v>45924.75</x:v>
      </x:c>
      <x:c r="C179" s="36" t="n">
        <x:v>45924.833333333336</x:v>
      </x:c>
      <x:c r="D179" s="15" t="n">
        <x:v>7588.1673040000005</x:v>
      </x:c>
      <x:c r="E179" s="15" t="n">
        <x:v>8871.106910999999</x:v>
      </x:c>
      <x:c r="F179" s="15" t="n">
        <x:v>16459.274214999998</x:v>
      </x:c>
      <x:c r="G179" s="15" t="n">
        <x:v>-1282.9396069999984</x:v>
      </x:c>
      <x:c r="H179" s="15" t="n">
        <x:v>45113.986905</x:v>
      </x:c>
      <x:c r="I179" s="15" t="n">
        <x:v>52702.154209</x:v>
      </x:c>
      <x:c r="J179" s="15" t="n">
        <x:v>2877.541802</x:v>
      </x:c>
      <x:c r="K179" s="15" t="n">
        <x:v>2881.1036560000002</x:v>
      </x:c>
      <x:c r="L179" s="15" t="n">
        <x:v>5758.645458000001</x:v>
      </x:c>
      <x:c r="M179" s="15" t="n">
        <x:v>-3.5618540000000394</x:v>
      </x:c>
      <x:c r="N179" s="15" t="n">
        <x:v>0.6684172833611741</x:v>
      </x:c>
      <x:c r="O179" s="15" t="n">
        <x:v>78165.46</x:v>
      </x:c>
      <x:c r="P179" s="15" t="n">
        <x:v>326113.12505000003</x:v>
      </x:c>
      <x:c r="Q179" s="15" t="n">
        <x:v>2101</x:v>
      </x:c>
      <x:c r="R179" s="15" t="n">
        <x:v>5.459535732795384</x:v>
      </x:c>
      <x:c r="S179" s="15" t="n">
        <x:v>0.19147917663954184</x:v>
      </x:c>
      <x:c r="T179" s="15" t="n">
        <x:v>-0.02399808015358662</x:v>
      </x:c>
      <x:c r="U179" s="15" t="n">
        <x:v>0.09599232061433538</x:v>
      </x:c>
    </x:row>
    <x:row r="180">
      <x:c r="A180" s="13" t="str">
        <x:v>all_360</x:v>
      </x:c>
      <x:c r="B180" s="36" t="n">
        <x:v>45924.833333333336</x:v>
      </x:c>
      <x:c r="C180" s="36" t="n">
        <x:v>45924.916666666664</x:v>
      </x:c>
      <x:c r="D180" s="15" t="n">
        <x:v>13917.640120999999</x:v>
      </x:c>
      <x:c r="E180" s="15" t="n">
        <x:v>14409.381082</x:v>
      </x:c>
      <x:c r="F180" s="15" t="n">
        <x:v>28327.021202999997</x:v>
      </x:c>
      <x:c r="G180" s="15" t="n">
        <x:v>-491.74096100000133</x:v>
      </x:c>
      <x:c r="H180" s="15" t="n">
        <x:v>83763.415736</x:v>
      </x:c>
      <x:c r="I180" s="15" t="n">
        <x:v>97681.055857</x:v>
      </x:c>
      <x:c r="J180" s="15" t="n">
        <x:v>11217.943643999999</x:v>
      </x:c>
      <x:c r="K180" s="15" t="n">
        <x:v>15610.493893</x:v>
      </x:c>
      <x:c r="L180" s="15" t="n">
        <x:v>26828.437536999998</x:v>
      </x:c>
      <x:c r="M180" s="15" t="n">
        <x:v>-4392.550249000002</x:v>
      </x:c>
      <x:c r="N180" s="15" t="n">
        <x:v>0.8862275449101777</x:v>
      </x:c>
      <x:c r="O180" s="15" t="n">
        <x:v>56632.34</x:v>
      </x:c>
      <x:c r="P180" s="15" t="n">
        <x:v>236117.49711</x:v>
      </x:c>
      <x:c r="Q180" s="15" t="n">
        <x:v>1642</x:v>
      </x:c>
      <x:c r="R180" s="15" t="n">
        <x:v>4.746838217091565</x:v>
      </x:c>
      <x:c r="S180" s="15" t="n">
        <x:v>0.19129603060736855</x:v>
      </x:c>
      <x:c r="T180" s="15" t="n">
        <x:v>-0.04793863854268832</x:v>
      </x:c>
      <x:c r="U180" s="15" t="n">
        <x:v>0.09636232233195541</x:v>
      </x:c>
    </x:row>
    <x:row r="181">
      <x:c r="A181" s="13" t="str">
        <x:v>all_360</x:v>
      </x:c>
      <x:c r="B181" s="36" t="n">
        <x:v>45924.916666666664</x:v>
      </x:c>
      <x:c r="C181" s="36" t="n">
        <x:v>45925</x:v>
      </x:c>
      <x:c r="D181" s="15" t="n">
        <x:v>3949.959661</x:v>
      </x:c>
      <x:c r="E181" s="15" t="n">
        <x:v>2892.171883</x:v>
      </x:c>
      <x:c r="F181" s="15" t="n">
        <x:v>6842.131544</x:v>
      </x:c>
      <x:c r="G181" s="15" t="n">
        <x:v>1057.787778</x:v>
      </x:c>
      <x:c r="H181" s="15" t="n">
        <x:v>77815.835622</x:v>
      </x:c>
      <x:c r="I181" s="15" t="n">
        <x:v>81765.795283</x:v>
      </x:c>
      <x:c r="J181" s="15" t="n">
        <x:v>2319.000098</x:v>
      </x:c>
      <x:c r="K181" s="15" t="n">
        <x:v>1891.256361</x:v>
      </x:c>
      <x:c r="L181" s="15" t="n">
        <x:v>4210.256459</x:v>
      </x:c>
      <x:c r="M181" s="15" t="n">
        <x:v>427.743737</x:v>
      </x:c>
      <x:c r="N181" s="15" t="n">
        <x:v>0.6260534553334892</x:v>
      </x:c>
      <x:c r="O181" s="15" t="n">
        <x:v>42088.64</x:v>
      </x:c>
      <x:c r="P181" s="15" t="n">
        <x:v>174926.87266</x:v>
      </x:c>
      <x:c r="Q181" s="15" t="n">
        <x:v>1638</x:v>
      </x:c>
      <x:c r="R181" s="15" t="n">
        <x:v>5.86765707540593</x:v>
      </x:c>
      <x:c r="S181" s="15" t="n">
        <x:v>0.16786570743404505</x:v>
      </x:c>
      <x:c r="T181" s="15" t="n">
        <x:v>-0.04810004810005264</x:v>
      </x:c>
      <x:c r="U181" s="15" t="n">
        <x:v>0.0962927298988836</x:v>
      </x:c>
    </x:row>
    <x:row r="182">
      <x:c r="A182" s="13" t="str">
        <x:v>all_360</x:v>
      </x:c>
      <x:c r="B182" s="36" t="n">
        <x:v>45925</x:v>
      </x:c>
      <x:c r="C182" s="36" t="n">
        <x:v>45925.083333333336</x:v>
      </x:c>
      <x:c r="D182" s="15" t="n">
        <x:v>30171.491886</x:v>
      </x:c>
      <x:c r="E182" s="15" t="n">
        <x:v>39521.830652000004</x:v>
      </x:c>
      <x:c r="F182" s="15" t="n">
        <x:v>69693.32253800001</x:v>
      </x:c>
      <x:c r="G182" s="15" t="n">
        <x:v>-9350.338766000004</x:v>
      </x:c>
      <x:c r="H182" s="15" t="n">
        <x:v>334208.227086</x:v>
      </x:c>
      <x:c r="I182" s="15" t="n">
        <x:v>364379.718972</x:v>
      </x:c>
      <x:c r="J182" s="15" t="n">
        <x:v>1587.875714</x:v>
      </x:c>
      <x:c r="K182" s="15" t="n">
        <x:v>7443.274184</x:v>
      </x:c>
      <x:c r="L182" s="15" t="n">
        <x:v>9031.149898</x:v>
      </x:c>
      <x:c r="M182" s="15" t="n">
        <x:v>-5855.39847</x:v>
      </x:c>
      <x:c r="N182" s="15" t="n">
        <x:v>1.2280279316157034</x:v>
      </x:c>
      <x:c r="O182" s="15" t="n">
        <x:v>134455.86</x:v>
      </x:c>
      <x:c r="P182" s="15" t="n">
        <x:v>555763.91949</x:v>
      </x:c>
      <x:c r="Q182" s="15" t="n">
        <x:v>4079</x:v>
      </x:c>
      <x:c r="R182" s="15" t="n">
        <x:v>7.155084119090072</x:v>
      </x:c>
      <x:c r="S182" s="15" t="n">
        <x:v>0.29006526468454696</x:v>
      </x:c>
      <x:c r="T182" s="15" t="n">
        <x:v>0.021041993076842402</x:v>
      </x:c>
      <x:c r="U182" s="15" t="n">
        <x:v>0.1212415130940836</x:v>
      </x:c>
    </x:row>
    <x:row r="183">
      <x:c r="A183" s="13" t="str">
        <x:v>all_360</x:v>
      </x:c>
      <x:c r="B183" s="36" t="n">
        <x:v>45925.083333333336</x:v>
      </x:c>
      <x:c r="C183" s="36" t="n">
        <x:v>45925.166666666664</x:v>
      </x:c>
      <x:c r="D183" s="15" t="n">
        <x:v>4157.714413</x:v>
      </x:c>
      <x:c r="E183" s="15" t="n">
        <x:v>3779.326119</x:v>
      </x:c>
      <x:c r="F183" s="15" t="n">
        <x:v>7937.040531999999</x:v>
      </x:c>
      <x:c r="G183" s="15" t="n">
        <x:v>378.38829399999986</x:v>
      </x:c>
      <x:c r="H183" s="15" t="n">
        <x:v>118137.607892</x:v>
      </x:c>
      <x:c r="I183" s="15" t="n">
        <x:v>122295.322305</x:v>
      </x:c>
      <x:c r="J183" s="15" t="n">
        <x:v>20083.177411</x:v>
      </x:c>
      <x:c r="K183" s="15" t="n">
        <x:v>15419.905993</x:v>
      </x:c>
      <x:c r="L183" s="15" t="n">
        <x:v>35503.083404000005</x:v>
      </x:c>
      <x:c r="M183" s="15" t="n">
        <x:v>4663.271418</x:v>
      </x:c>
      <x:c r="N183" s="15" t="n">
        <x:v>1.7216294859359782</x:v>
      </x:c>
      <x:c r="O183" s="15" t="n">
        <x:v>169676.15</x:v>
      </x:c>
      <x:c r="P183" s="15" t="n">
        <x:v>699684.87225</x:v>
      </x:c>
      <x:c r="Q183" s="15" t="n">
        <x:v>4148</x:v>
      </x:c>
      <x:c r="R183" s="15" t="n">
        <x:v>7.446267055423372</x:v>
      </x:c>
      <x:c r="S183" s="15" t="n">
        <x:v>0.19305019305019266</x:v>
      </x:c>
      <x:c r="T183" s="15" t="n">
        <x:v>0.03973233380346608</x:v>
      </x:c>
      <x:c r="U183" s="15" t="n">
        <x:v>0.1708984374999889</x:v>
      </x:c>
    </x:row>
    <x:row r="184">
      <x:c r="A184" s="13" t="str">
        <x:v>all_360</x:v>
      </x:c>
      <x:c r="B184" s="36" t="n">
        <x:v>45925.166666666664</x:v>
      </x:c>
      <x:c r="C184" s="36" t="n">
        <x:v>45925.25</x:v>
      </x:c>
      <x:c r="D184" s="15" t="n">
        <x:v>30612.485613</x:v>
      </x:c>
      <x:c r="E184" s="15" t="n">
        <x:v>40042.384923</x:v>
      </x:c>
      <x:c r="F184" s="15" t="n">
        <x:v>70654.870536</x:v>
      </x:c>
      <x:c r="G184" s="15" t="n">
        <x:v>-9429.899309999997</x:v>
      </x:c>
      <x:c r="H184" s="15" t="n">
        <x:v>116562.85064799999</x:v>
      </x:c>
      <x:c r="I184" s="15" t="n">
        <x:v>147175.336261</x:v>
      </x:c>
      <x:c r="J184" s="15" t="n">
        <x:v>87748.820976</x:v>
      </x:c>
      <x:c r="K184" s="15" t="n">
        <x:v>40732.647284</x:v>
      </x:c>
      <x:c r="L184" s="15" t="n">
        <x:v>128481.46826</x:v>
      </x:c>
      <x:c r="M184" s="15" t="n">
        <x:v>47016.173692000004</x:v>
      </x:c>
      <x:c r="N184" s="15" t="n">
        <x:v>1.9907744598203412</x:v>
      </x:c>
      <x:c r="O184" s="15" t="n">
        <x:v>182534.27</x:v>
      </x:c>
      <x:c r="P184" s="15" t="n">
        <x:v>746429.02986</x:v>
      </x:c>
      <x:c r="Q184" s="15" t="n">
        <x:v>5406</x:v>
      </x:c>
      <x:c r="R184" s="15" t="n">
        <x:v>10.432328718306927</x:v>
      </x:c>
      <x:c r="S184" s="15" t="n">
        <x:v>0.21839359378792444</x:v>
      </x:c>
      <x:c r="T184" s="15" t="n">
        <x:v>-0.007925445595358127</x:v>
      </x:c>
      <x:c r="U184" s="15" t="n">
        <x:v>0.12236906510033618</x:v>
      </x:c>
    </x:row>
    <x:row r="185">
      <x:c r="A185" s="13" t="str">
        <x:v>all_360</x:v>
      </x:c>
      <x:c r="B185" s="36" t="n">
        <x:v>45925.25</x:v>
      </x:c>
      <x:c r="C185" s="36" t="n">
        <x:v>45925.333333333336</x:v>
      </x:c>
      <x:c r="D185" s="15" t="n">
        <x:v>41761.864037</x:v>
      </x:c>
      <x:c r="E185" s="15" t="n">
        <x:v>42949.132062</x:v>
      </x:c>
      <x:c r="F185" s="15" t="n">
        <x:v>84710.996099</x:v>
      </x:c>
      <x:c r="G185" s="15" t="n">
        <x:v>-1187.2680249999976</x:v>
      </x:c>
      <x:c r="H185" s="15" t="n">
        <x:v>92697.43196</x:v>
      </x:c>
      <x:c r="I185" s="15" t="n">
        <x:v>134459.295997</x:v>
      </x:c>
      <x:c r="J185" s="15" t="n">
        <x:v>1995.183733</x:v>
      </x:c>
      <x:c r="K185" s="15" t="n">
        <x:v>10714.465524</x:v>
      </x:c>
      <x:c r="L185" s="15" t="n">
        <x:v>12709.649257</x:v>
      </x:c>
      <x:c r="M185" s="15" t="n">
        <x:v>-8719.281791</x:v>
      </x:c>
      <x:c r="N185" s="15" t="n">
        <x:v>1.0710808179162512</x:v>
      </x:c>
      <x:c r="O185" s="15" t="n">
        <x:v>80287.71</x:v>
      </x:c>
      <x:c r="P185" s="15" t="n">
        <x:v>327822.0038</x:v>
      </x:c>
      <x:c r="Q185" s="15" t="n">
        <x:v>3209</x:v>
      </x:c>
      <x:c r="R185" s="15" t="n">
        <x:v>8.42106411537442</x:v>
      </x:c>
      <x:c r="S185" s="15" t="n">
        <x:v>0.2203721841331885</x:v>
      </x:c>
      <x:c r="T185" s="15" t="n">
        <x:v>-0.010950807681142649</x:v>
      </x:c>
      <x:c r="U185" s="15" t="n">
        <x:v>0.19583843329253892</x:v>
      </x:c>
    </x:row>
    <x:row r="186">
      <x:c r="A186" s="13" t="str">
        <x:v>all_360</x:v>
      </x:c>
      <x:c r="B186" s="36" t="n">
        <x:v>45925.333333333336</x:v>
      </x:c>
      <x:c r="C186" s="36" t="n">
        <x:v>45925.416666666664</x:v>
      </x:c>
      <x:c r="D186" s="15" t="n">
        <x:v>55824.413588</x:v>
      </x:c>
      <x:c r="E186" s="15" t="n">
        <x:v>49357.13132</x:v>
      </x:c>
      <x:c r="F186" s="15" t="n">
        <x:v>105181.54490800001</x:v>
      </x:c>
      <x:c r="G186" s="15" t="n">
        <x:v>6467.282268000003</x:v>
      </x:c>
      <x:c r="H186" s="15" t="n">
        <x:v>123301.38949</x:v>
      </x:c>
      <x:c r="I186" s="15" t="n">
        <x:v>179125.803078</x:v>
      </x:c>
      <x:c r="J186" s="15" t="n">
        <x:v>4510.399068</x:v>
      </x:c>
      <x:c r="K186" s="15" t="n">
        <x:v>35058.229611</x:v>
      </x:c>
      <x:c r="L186" s="15" t="n">
        <x:v>39568.628679</x:v>
      </x:c>
      <x:c r="M186" s="15" t="n">
        <x:v>-30547.830543000004</x:v>
      </x:c>
      <x:c r="N186" s="15" t="n">
        <x:v>1.0805500982318172</x:v>
      </x:c>
      <x:c r="O186" s="15" t="n">
        <x:v>189402.88</x:v>
      </x:c>
      <x:c r="P186" s="15" t="n">
        <x:v>770605.63428</x:v>
      </x:c>
      <x:c r="Q186" s="15" t="n">
        <x:v>4272</x:v>
      </x:c>
      <x:c r="R186" s="15" t="n">
        <x:v>7.755984300026797</x:v>
      </x:c>
      <x:c r="S186" s="15" t="n">
        <x:v>0.22129333661176087</x:v>
      </x:c>
      <x:c r="T186" s="15" t="n">
        <x:v>0.0984736582964163</x:v>
      </x:c>
      <x:c r="U186" s="15" t="n">
        <x:v>0.1967535661583919</x:v>
      </x:c>
    </x:row>
    <x:row r="187">
      <x:c r="A187" s="13" t="str">
        <x:v>all_360</x:v>
      </x:c>
      <x:c r="B187" s="36" t="n">
        <x:v>45925.416666666664</x:v>
      </x:c>
      <x:c r="C187" s="36" t="n">
        <x:v>45925.5</x:v>
      </x:c>
      <x:c r="D187" s="15" t="n">
        <x:v>42451.034168</x:v>
      </x:c>
      <x:c r="E187" s="15" t="n">
        <x:v>48508.85765</x:v>
      </x:c>
      <x:c r="F187" s="15" t="n">
        <x:v>90959.891818</x:v>
      </x:c>
      <x:c r="G187" s="15" t="n">
        <x:v>-6057.823482</x:v>
      </x:c>
      <x:c r="H187" s="15" t="n">
        <x:v>251300.086604</x:v>
      </x:c>
      <x:c r="I187" s="15" t="n">
        <x:v>293751.120772</x:v>
      </x:c>
      <x:c r="J187" s="15" t="n">
        <x:v>7245.236811</x:v>
      </x:c>
      <x:c r="K187" s="15" t="n">
        <x:v>8821.810359</x:v>
      </x:c>
      <x:c r="L187" s="15" t="n">
        <x:v>16067.047169999998</x:v>
      </x:c>
      <x:c r="M187" s="15" t="n">
        <x:v>-1576.5735479999994</x:v>
      </x:c>
      <x:c r="N187" s="15" t="n">
        <x:v>1.233045622688035</x:v>
      </x:c>
      <x:c r="O187" s="15" t="n">
        <x:v>95937.35</x:v>
      </x:c>
      <x:c r="P187" s="15" t="n">
        <x:v>389218.87651</x:v>
      </x:c>
      <x:c r="Q187" s="15" t="n">
        <x:v>2932</x:v>
      </x:c>
      <x:c r="R187" s="15" t="n">
        <x:v>6.893729308329899</x:v>
      </x:c>
      <x:c r="S187" s="15" t="n">
        <x:v>0.22058823529412797</x:v>
      </x:c>
      <x:c r="T187" s="15" t="n">
        <x:v>-0.020187052027864638</x:v>
      </x:c>
      <x:c r="U187" s="15" t="n">
        <x:v>0.12330456226880004</x:v>
      </x:c>
    </x:row>
    <x:row r="188">
      <x:c r="A188" s="13" t="str">
        <x:v>all_360</x:v>
      </x:c>
      <x:c r="B188" s="36" t="n">
        <x:v>45925.5</x:v>
      </x:c>
      <x:c r="C188" s="36" t="n">
        <x:v>45925.583333333336</x:v>
      </x:c>
      <x:c r="D188" s="15" t="n">
        <x:v>148127.40322</x:v>
      </x:c>
      <x:c r="E188" s="15" t="n">
        <x:v>143672.702082</x:v>
      </x:c>
      <x:c r="F188" s="15" t="n">
        <x:v>291800.105302</x:v>
      </x:c>
      <x:c r="G188" s="15" t="n">
        <x:v>4454.701138000004</x:v>
      </x:c>
      <x:c r="H188" s="15" t="n">
        <x:v>337575.01329000003</x:v>
      </x:c>
      <x:c r="I188" s="15" t="n">
        <x:v>485702.41651</x:v>
      </x:c>
      <x:c r="J188" s="15" t="n">
        <x:v>30244.673655000002</x:v>
      </x:c>
      <x:c r="K188" s="15" t="n">
        <x:v>18166.62895</x:v>
      </x:c>
      <x:c r="L188" s="15" t="n">
        <x:v>48411.302605000004</x:v>
      </x:c>
      <x:c r="M188" s="15" t="n">
        <x:v>12078.044705000004</x:v>
      </x:c>
      <x:c r="N188" s="15" t="n">
        <x:v>2.9636947394418396</x:v>
      </x:c>
      <x:c r="O188" s="15" t="n">
        <x:v>415129.81</x:v>
      </x:c>
      <x:c r="P188" s="15" t="n">
        <x:v>1686555.42863</x:v>
      </x:c>
      <x:c r="Q188" s="15" t="n">
        <x:v>11204</x:v>
      </x:c>
      <x:c r="R188" s="15" t="n">
        <x:v>13.523183176297993</x:v>
      </x:c>
      <x:c r="S188" s="15" t="n">
        <x:v>0.2956393200295726</x:v>
      </x:c>
      <x:c r="T188" s="15" t="n">
        <x:v>0.12315270935960854</x:v>
      </x:c>
      <x:c r="U188" s="15" t="n">
        <x:v>0.42257022122792476</x:v>
      </x:c>
    </x:row>
    <x:row r="189">
      <x:c r="A189" s="13" t="str">
        <x:v>all_360</x:v>
      </x:c>
      <x:c r="B189" s="36" t="n">
        <x:v>45925.583333333336</x:v>
      </x:c>
      <x:c r="C189" s="36" t="n">
        <x:v>45925.666666666664</x:v>
      </x:c>
      <x:c r="D189" s="15" t="n">
        <x:v>76477.062867</x:v>
      </x:c>
      <x:c r="E189" s="15" t="n">
        <x:v>75670.59067800001</x:v>
      </x:c>
      <x:c r="F189" s="15" t="n">
        <x:v>152147.653545</x:v>
      </x:c>
      <x:c r="G189" s="15" t="n">
        <x:v>806.4721889999928</x:v>
      </x:c>
      <x:c r="H189" s="15" t="n">
        <x:v>241224.570939</x:v>
      </x:c>
      <x:c r="I189" s="15" t="n">
        <x:v>317701.633806</x:v>
      </x:c>
      <x:c r="J189" s="15" t="n">
        <x:v>10015.614039</x:v>
      </x:c>
      <x:c r="K189" s="15" t="n">
        <x:v>11633.228148</x:v>
      </x:c>
      <x:c r="L189" s="15" t="n">
        <x:v>21648.842187000002</x:v>
      </x:c>
      <x:c r="M189" s="15" t="n">
        <x:v>-1617.614109</x:v>
      </x:c>
      <x:c r="N189" s="15" t="n">
        <x:v>1.546391752577313</x:v>
      </x:c>
      <x:c r="O189" s="15" t="n">
        <x:v>142084.24</x:v>
      </x:c>
      <x:c r="P189" s="15" t="n">
        <x:v>580984.40345</x:v>
      </x:c>
      <x:c r="Q189" s="15" t="n">
        <x:v>4057</x:v>
      </x:c>
      <x:c r="R189" s="15" t="n">
        <x:v>7.9015602027993515</x:v>
      </x:c>
      <x:c r="S189" s="15" t="n">
        <x:v>0.22010271460015662</x:v>
      </x:c>
      <x:c r="T189" s="15" t="n">
        <x:v>0</x:v>
      </x:c>
      <x:c r="U189" s="15" t="n">
        <x:v>0.1716106888943303</x:v>
      </x:c>
    </x:row>
    <x:row r="190">
      <x:c r="A190" s="13" t="str">
        <x:v>all_360</x:v>
      </x:c>
      <x:c r="B190" s="36" t="n">
        <x:v>45925.666666666664</x:v>
      </x:c>
      <x:c r="C190" s="36" t="n">
        <x:v>45925.75</x:v>
      </x:c>
      <x:c r="D190" s="15" t="n">
        <x:v>95354.73353700001</x:v>
      </x:c>
      <x:c r="E190" s="15" t="n">
        <x:v>95206.395277</x:v>
      </x:c>
      <x:c r="F190" s="15" t="n">
        <x:v>190561.128814</x:v>
      </x:c>
      <x:c r="G190" s="15" t="n">
        <x:v>148.33826000000408</x:v>
      </x:c>
      <x:c r="H190" s="15" t="n">
        <x:v>399792.324263</x:v>
      </x:c>
      <x:c r="I190" s="15" t="n">
        <x:v>495147.0578</x:v>
      </x:c>
      <x:c r="J190" s="15" t="n">
        <x:v>14622.393284</x:v>
      </x:c>
      <x:c r="K190" s="15" t="n">
        <x:v>30803.86205</x:v>
      </x:c>
      <x:c r="L190" s="15" t="n">
        <x:v>45426.255334</x:v>
      </x:c>
      <x:c r="M190" s="15" t="n">
        <x:v>-16181.468766</x:v>
      </x:c>
      <x:c r="N190" s="15" t="n">
        <x:v>3.2488309131183994</x:v>
      </x:c>
      <x:c r="O190" s="15" t="n">
        <x:v>518710.09</x:v>
      </x:c>
      <x:c r="P190" s="15" t="n">
        <x:v>2073902.9198099999</x:v>
      </x:c>
      <x:c r="Q190" s="15" t="n">
        <x:v>13244</x:v>
      </x:c>
      <x:c r="R190" s="15" t="n">
        <x:v>14.11767998476523</x:v>
      </x:c>
      <x:c r="S190" s="15" t="n">
        <x:v>0.24777006937561907</x:v>
      </x:c>
      <x:c r="T190" s="15" t="n">
        <x:v>0.05028916268543515</x:v>
      </x:c>
      <x:c r="U190" s="15" t="n">
        <x:v>0.30000000000000027</x:v>
      </x:c>
    </x:row>
    <x:row r="191">
      <x:c r="A191" s="13" t="str">
        <x:v>all_360</x:v>
      </x:c>
      <x:c r="B191" s="36" t="n">
        <x:v>45925.75</x:v>
      </x:c>
      <x:c r="C191" s="36" t="n">
        <x:v>45925.833333333336</x:v>
      </x:c>
      <x:c r="D191" s="15" t="n">
        <x:v>39394.602485</x:v>
      </x:c>
      <x:c r="E191" s="15" t="n">
        <x:v>40627.053234</x:v>
      </x:c>
      <x:c r="F191" s="15" t="n">
        <x:v>80021.655719</x:v>
      </x:c>
      <x:c r="G191" s="15" t="n">
        <x:v>-1232.450748999996</x:v>
      </x:c>
      <x:c r="H191" s="15" t="n">
        <x:v>1348894.291537</x:v>
      </x:c>
      <x:c r="I191" s="15" t="n">
        <x:v>1388288.894022</x:v>
      </x:c>
      <x:c r="J191" s="15" t="n">
        <x:v>27158.133632</x:v>
      </x:c>
      <x:c r="K191" s="15" t="n">
        <x:v>15885.155144999999</x:v>
      </x:c>
      <x:c r="L191" s="15" t="n">
        <x:v>43043.288777</x:v>
      </x:c>
      <x:c r="M191" s="15" t="n">
        <x:v>11272.978487000002</x:v>
      </x:c>
      <x:c r="N191" s="15" t="n">
        <x:v>3.430877901109993</x:v>
      </x:c>
      <x:c r="O191" s="15" t="n">
        <x:v>248549.28</x:v>
      </x:c>
      <x:c r="P191" s="15" t="n">
        <x:v>999667.062</x:v>
      </x:c>
      <x:c r="Q191" s="15" t="n">
        <x:v>7604</x:v>
      </x:c>
      <x:c r="R191" s="15" t="n">
        <x:v>11.385737048880351</x:v>
      </x:c>
      <x:c r="S191" s="15" t="n">
        <x:v>0.19767729182109672</x:v>
      </x:c>
      <x:c r="T191" s="15" t="n">
        <x:v>0</x:v>
      </x:c>
      <x:c r="U191" s="15" t="n">
        <x:v>0.19797079930710115</x:v>
      </x:c>
    </x:row>
    <x:row r="192">
      <x:c r="A192" s="13" t="str">
        <x:v>all_360</x:v>
      </x:c>
      <x:c r="B192" s="36" t="n">
        <x:v>45925.833333333336</x:v>
      </x:c>
      <x:c r="C192" s="36" t="n">
        <x:v>45925.916666666664</x:v>
      </x:c>
      <x:c r="D192" s="15" t="n">
        <x:v>15684.649523</x:v>
      </x:c>
      <x:c r="E192" s="15" t="n">
        <x:v>18010.057886</x:v>
      </x:c>
      <x:c r="F192" s="15" t="n">
        <x:v>33694.707408999995</x:v>
      </x:c>
      <x:c r="G192" s="15" t="n">
        <x:v>-2325.4083629999986</x:v>
      </x:c>
      <x:c r="H192" s="15" t="n">
        <x:v>2144592.590834</x:v>
      </x:c>
      <x:c r="I192" s="15" t="n">
        <x:v>2160277.2403570004</x:v>
      </x:c>
      <x:c r="J192" s="15" t="n">
        <x:v>15485.940852</x:v>
      </x:c>
      <x:c r="K192" s="15" t="n">
        <x:v>20476.38433</x:v>
      </x:c>
      <x:c r="L192" s="15" t="n">
        <x:v>35962.325182</x:v>
      </x:c>
      <x:c r="M192" s="15" t="n">
        <x:v>-4990.443478000001</x:v>
      </x:c>
      <x:c r="N192" s="15" t="n">
        <x:v>1.1625030917635346</x:v>
      </x:c>
      <x:c r="O192" s="15" t="n">
        <x:v>129437.1</x:v>
      </x:c>
      <x:c r="P192" s="15" t="n">
        <x:v>521244.64188</x:v>
      </x:c>
      <x:c r="Q192" s="15" t="n">
        <x:v>4641</x:v>
      </x:c>
      <x:c r="R192" s="15" t="n">
        <x:v>8.813115682432926</x:v>
      </x:c>
      <x:c r="S192" s="15" t="n">
        <x:v>0.32178217821782207</x:v>
      </x:c>
      <x:c r="T192" s="15" t="n">
        <x:v>-0.02477700693757079</x:v>
      </x:c>
      <x:c r="U192" s="15" t="n">
        <x:v>0.1987083954297031</x:v>
      </x:c>
    </x:row>
    <x:row r="193">
      <x:c r="A193" s="13" t="str">
        <x:v>all_360</x:v>
      </x:c>
      <x:c r="B193" s="36" t="n">
        <x:v>45925.916666666664</x:v>
      </x:c>
      <x:c r="C193" s="36" t="n">
        <x:v>45926</x:v>
      </x:c>
      <x:c r="D193" s="15" t="n">
        <x:v>16286.254665</x:v>
      </x:c>
      <x:c r="E193" s="15" t="n">
        <x:v>16373.216542</x:v>
      </x:c>
      <x:c r="F193" s="15" t="n">
        <x:v>32659.471207000002</x:v>
      </x:c>
      <x:c r="G193" s="15" t="n">
        <x:v>-86.96187699999973</x:v>
      </x:c>
      <x:c r="H193" s="15" t="n">
        <x:v>76626.291298</x:v>
      </x:c>
      <x:c r="I193" s="15" t="n">
        <x:v>92912.545963</x:v>
      </x:c>
      <x:c r="J193" s="15" t="n">
        <x:v>4969.877567</x:v>
      </x:c>
      <x:c r="K193" s="15" t="n">
        <x:v>7262.665716</x:v>
      </x:c>
      <x:c r="L193" s="15" t="n">
        <x:v>12232.543283</x:v>
      </x:c>
      <x:c r="M193" s="15" t="n">
        <x:v>-2292.788149</x:v>
      </x:c>
      <x:c r="N193" s="15" t="n">
        <x:v>1.8811881188118829</x:v>
      </x:c>
      <x:c r="O193" s="15" t="n">
        <x:v>97206.43</x:v>
      </x:c>
      <x:c r="P193" s="15" t="n">
        <x:v>390114.80905</x:v>
      </x:c>
      <x:c r="Q193" s="15" t="n">
        <x:v>2844</x:v>
      </x:c>
      <x:c r="R193" s="15" t="n">
        <x:v>9.12145893068228</x:v>
      </x:c>
      <x:c r="S193" s="15" t="n">
        <x:v>0.2711363076164708</x:v>
      </x:c>
      <x:c r="T193" s="15" t="n">
        <x:v>-0.010004955414188998</x:v>
      </x:c>
      <x:c r="U193" s="15" t="n">
        <x:v>0.1978728666831575</x:v>
      </x:c>
    </x:row>
    <x:row r="194">
      <x:c r="A194" s="13" t="str">
        <x:v>all_360</x:v>
      </x:c>
      <x:c r="B194" s="36" t="n">
        <x:v>45926</x:v>
      </x:c>
      <x:c r="C194" s="36" t="n">
        <x:v>45926.083333333336</x:v>
      </x:c>
      <x:c r="D194" s="15" t="n">
        <x:v>25518.007041</x:v>
      </x:c>
      <x:c r="E194" s="15" t="n">
        <x:v>25467.923888999998</x:v>
      </x:c>
      <x:c r="F194" s="15" t="n">
        <x:v>50985.93093</x:v>
      </x:c>
      <x:c r="G194" s="15" t="n">
        <x:v>50.08315200000288</x:v>
      </x:c>
      <x:c r="H194" s="15" t="n">
        <x:v>49496.936882</x:v>
      </x:c>
      <x:c r="I194" s="15" t="n">
        <x:v>75014.943923</x:v>
      </x:c>
      <x:c r="J194" s="15" t="n">
        <x:v>13346.91189</x:v>
      </x:c>
      <x:c r="K194" s="15" t="n">
        <x:v>3519.41009</x:v>
      </x:c>
      <x:c r="L194" s="15" t="n">
        <x:v>16866.32198</x:v>
      </x:c>
      <x:c r="M194" s="15" t="n">
        <x:v>9827.5018</x:v>
      </x:c>
      <x:c r="N194" s="15" t="n">
        <x:v>1.4453027660104616</x:v>
      </x:c>
      <x:c r="O194" s="15" t="n">
        <x:v>94329.26</x:v>
      </x:c>
      <x:c r="P194" s="15" t="n">
        <x:v>381019.12847</x:v>
      </x:c>
      <x:c r="Q194" s="15" t="n">
        <x:v>3192</x:v>
      </x:c>
      <x:c r="R194" s="15" t="n">
        <x:v>10.051443101722924</x:v>
      </x:c>
      <x:c r="S194" s="15" t="n">
        <x:v>0.39418576003942274</x:v>
      </x:c>
      <x:c r="T194" s="15" t="n">
        <x:v>-0.024734108335389138</x:v>
      </x:c>
      <x:c r="U194" s="15" t="n">
        <x:v>0.22310361923647548</x:v>
      </x:c>
    </x:row>
    <x:row r="195">
      <x:c r="A195" s="13" t="str">
        <x:v>all_360</x:v>
      </x:c>
      <x:c r="B195" s="36" t="n">
        <x:v>45926.083333333336</x:v>
      </x:c>
      <x:c r="C195" s="36" t="n">
        <x:v>45926.166666666664</x:v>
      </x:c>
      <x:c r="D195" s="15" t="n">
        <x:v>4077.697466</x:v>
      </x:c>
      <x:c r="E195" s="15" t="n">
        <x:v>2381.328128</x:v>
      </x:c>
      <x:c r="F195" s="15" t="n">
        <x:v>6459.025594000001</x:v>
      </x:c>
      <x:c r="G195" s="15" t="n">
        <x:v>1696.369338</x:v>
      </x:c>
      <x:c r="H195" s="15" t="n">
        <x:v>170463.12049200002</x:v>
      </x:c>
      <x:c r="I195" s="15" t="n">
        <x:v>174540.81795800003</x:v>
      </x:c>
      <x:c r="J195" s="15" t="n">
        <x:v>3143.7852700000003</x:v>
      </x:c>
      <x:c r="K195" s="15" t="n">
        <x:v>3785.656633</x:v>
      </x:c>
      <x:c r="L195" s="15" t="n">
        <x:v>6929.441903000001</x:v>
      </x:c>
      <x:c r="M195" s="15" t="n">
        <x:v>-641.8713629999997</x:v>
      </x:c>
      <x:c r="N195" s="15" t="n">
        <x:v>0.7907091672844089</x:v>
      </x:c>
      <x:c r="O195" s="15" t="n">
        <x:v>51709.37</x:v>
      </x:c>
      <x:c r="P195" s="15" t="n">
        <x:v>208914.43758</x:v>
      </x:c>
      <x:c r="Q195" s="15" t="n">
        <x:v>1983</x:v>
      </x:c>
      <x:c r="R195" s="15" t="n">
        <x:v>7.001117483668096</x:v>
      </x:c>
      <x:c r="S195" s="15" t="n">
        <x:v>0.2469745616201724</x:v>
      </x:c>
      <x:c r="T195" s="15" t="n">
        <x:v>-0.048443545472687255</x:v>
      </x:c>
      <x:c r="U195" s="15" t="n">
        <x:v>0.19753086419752597</x:v>
      </x:c>
    </x:row>
    <x:row r="196">
      <x:c r="A196" s="13" t="str">
        <x:v>all_360</x:v>
      </x:c>
      <x:c r="B196" s="36" t="n">
        <x:v>45926.166666666664</x:v>
      </x:c>
      <x:c r="C196" s="36" t="n">
        <x:v>45926.25</x:v>
      </x:c>
      <x:c r="D196" s="15" t="n">
        <x:v>22003.684362</x:v>
      </x:c>
      <x:c r="E196" s="15" t="n">
        <x:v>18681.827108</x:v>
      </x:c>
      <x:c r="F196" s="15" t="n">
        <x:v>40685.51147</x:v>
      </x:c>
      <x:c r="G196" s="15" t="n">
        <x:v>3321.8572539999986</x:v>
      </x:c>
      <x:c r="H196" s="15" t="n">
        <x:v>71582.819702</x:v>
      </x:c>
      <x:c r="I196" s="15" t="n">
        <x:v>93586.504064</x:v>
      </x:c>
      <x:c r="J196" s="15" t="n">
        <x:v>2155.7245740000003</x:v>
      </x:c>
      <x:c r="K196" s="15" t="n">
        <x:v>3983.210592</x:v>
      </x:c>
      <x:c r="L196" s="15" t="n">
        <x:v>6138.935166</x:v>
      </x:c>
      <x:c r="M196" s="15" t="n">
        <x:v>-1827.4860179999996</x:v>
      </x:c>
      <x:c r="N196" s="15" t="n">
        <x:v>0.9886307464162143</x:v>
      </x:c>
      <x:c r="O196" s="15" t="n">
        <x:v>59170.229999999996</x:v>
      </x:c>
      <x:c r="P196" s="15" t="n">
        <x:v>238908.8084</x:v>
      </x:c>
      <x:c r="Q196" s="15" t="n">
        <x:v>1883</x:v>
      </x:c>
      <x:c r="R196" s="15" t="n">
        <x:v>5.075489783205467</x:v>
      </x:c>
      <x:c r="S196" s="15" t="n">
        <x:v>0.1735250371839303</x:v>
      </x:c>
      <x:c r="T196" s="15" t="n">
        <x:v>0.017955449035145232</x:v>
      </x:c>
      <x:c r="U196" s="15" t="n">
        <x:v>0.1481481481481528</x:v>
      </x:c>
    </x:row>
    <x:row r="197">
      <x:c r="A197" s="13" t="str">
        <x:v>all_360</x:v>
      </x:c>
      <x:c r="B197" s="36" t="n">
        <x:v>45926.25</x:v>
      </x:c>
      <x:c r="C197" s="36" t="n">
        <x:v>45926.333333333336</x:v>
      </x:c>
      <x:c r="D197" s="15" t="n">
        <x:v>24651.416214</x:v>
      </x:c>
      <x:c r="E197" s="15" t="n">
        <x:v>24445.057753</x:v>
      </x:c>
      <x:c r="F197" s="15" t="n">
        <x:v>49096.473967</x:v>
      </x:c>
      <x:c r="G197" s="15" t="n">
        <x:v>206.3584609999998</x:v>
      </x:c>
      <x:c r="H197" s="15" t="n">
        <x:v>122186.636712</x:v>
      </x:c>
      <x:c r="I197" s="15" t="n">
        <x:v>146838.052926</x:v>
      </x:c>
      <x:c r="J197" s="15" t="n">
        <x:v>10462.504106</x:v>
      </x:c>
      <x:c r="K197" s="15" t="n">
        <x:v>15842.582964</x:v>
      </x:c>
      <x:c r="L197" s="15" t="n">
        <x:v>26305.08707</x:v>
      </x:c>
      <x:c r="M197" s="15" t="n">
        <x:v>-5380.078857999999</x:v>
      </x:c>
      <x:c r="N197" s="15" t="n">
        <x:v>1.0696517412935251</x:v>
      </x:c>
      <x:c r="O197" s="15" t="n">
        <x:v>94424.29</x:v>
      </x:c>
      <x:c r="P197" s="15" t="n">
        <x:v>379449.10839</x:v>
      </x:c>
      <x:c r="Q197" s="15" t="n">
        <x:v>3693</x:v>
      </x:c>
      <x:c r="R197" s="15" t="n">
        <x:v>7.788369827881181</x:v>
      </x:c>
      <x:c r="S197" s="15" t="n">
        <x:v>0.2485089463220569</x:v>
      </x:c>
      <x:c r="T197" s="15" t="n">
        <x:v>0.014742607546891495</x:v>
      </x:c>
      <x:c r="U197" s="15" t="n">
        <x:v>0.19910403185664505</x:v>
      </x:c>
    </x:row>
    <x:row r="198">
      <x:c r="A198" s="13" t="str">
        <x:v>all_360</x:v>
      </x:c>
      <x:c r="B198" s="36" t="n">
        <x:v>45926.333333333336</x:v>
      </x:c>
      <x:c r="C198" s="36" t="n">
        <x:v>45926.416666666664</x:v>
      </x:c>
      <x:c r="D198" s="15" t="n">
        <x:v>48742.37454</x:v>
      </x:c>
      <x:c r="E198" s="15" t="n">
        <x:v>48624.495986</x:v>
      </x:c>
      <x:c r="F198" s="15" t="n">
        <x:v>97366.870526</x:v>
      </x:c>
      <x:c r="G198" s="15" t="n">
        <x:v>117.87855399999535</x:v>
      </x:c>
      <x:c r="H198" s="15" t="n">
        <x:v>150815.117376</x:v>
      </x:c>
      <x:c r="I198" s="15" t="n">
        <x:v>199557.491916</x:v>
      </x:c>
      <x:c r="J198" s="15" t="n">
        <x:v>3327.960166</x:v>
      </x:c>
      <x:c r="K198" s="15" t="n">
        <x:v>11719.617398</x:v>
      </x:c>
      <x:c r="L198" s="15" t="n">
        <x:v>15047.577564</x:v>
      </x:c>
      <x:c r="M198" s="15" t="n">
        <x:v>-8391.657232000001</x:v>
      </x:c>
      <x:c r="N198" s="15" t="n">
        <x:v>1.0445162894802242</x:v>
      </x:c>
      <x:c r="O198" s="15" t="n">
        <x:v>128385.40000000001</x:v>
      </x:c>
      <x:c r="P198" s="15" t="n">
        <x:v>517248.03163</x:v>
      </x:c>
      <x:c r="Q198" s="15" t="n">
        <x:v>3153</x:v>
      </x:c>
      <x:c r="R198" s="15" t="n">
        <x:v>6.728450542809017</x:v>
      </x:c>
      <x:c r="S198" s="15" t="n">
        <x:v>0.24789291026275917</x:v>
      </x:c>
      <x:c r="T198" s="15" t="n">
        <x:v>0</x:v>
      </x:c>
      <x:c r="U198" s="15" t="n">
        <x:v>0.19846192011907515</x:v>
      </x:c>
    </x:row>
    <x:row r="199">
      <x:c r="A199" s="13" t="str">
        <x:v>all_360</x:v>
      </x:c>
      <x:c r="B199" s="36" t="n">
        <x:v>45926.416666666664</x:v>
      </x:c>
      <x:c r="C199" s="36" t="n">
        <x:v>45926.5</x:v>
      </x:c>
      <x:c r="D199" s="15" t="n">
        <x:v>40150.092183</x:v>
      </x:c>
      <x:c r="E199" s="15" t="n">
        <x:v>42060.064852</x:v>
      </x:c>
      <x:c r="F199" s="15" t="n">
        <x:v>82210.15703500001</x:v>
      </x:c>
      <x:c r="G199" s="15" t="n">
        <x:v>-1909.9726690000025</x:v>
      </x:c>
      <x:c r="H199" s="15" t="n">
        <x:v>198507.245431</x:v>
      </x:c>
      <x:c r="I199" s="15" t="n">
        <x:v>238657.337614</x:v>
      </x:c>
      <x:c r="J199" s="15" t="n">
        <x:v>8332.937991</x:v>
      </x:c>
      <x:c r="K199" s="15" t="n">
        <x:v>52814.301138999996</x:v>
      </x:c>
      <x:c r="L199" s="15" t="n">
        <x:v>61147.239129999994</x:v>
      </x:c>
      <x:c r="M199" s="15" t="n">
        <x:v>-44481.363148</x:v>
      </x:c>
      <x:c r="N199" s="15" t="n">
        <x:v>1.095072175211549</x:v>
      </x:c>
      <x:c r="O199" s="15" t="n">
        <x:v>107356.71</x:v>
      </x:c>
      <x:c r="P199" s="15" t="n">
        <x:v>428655.06431</x:v>
      </x:c>
      <x:c r="Q199" s="15" t="n">
        <x:v>3153</x:v>
      </x:c>
      <x:c r="R199" s="15" t="n">
        <x:v>7.962019519258212</x:v>
      </x:c>
      <x:c r="S199" s="15" t="n">
        <x:v>0.22556390977443996</x:v>
      </x:c>
      <x:c r="T199" s="15" t="n">
        <x:v>0.010337350490974284</x:v>
      </x:c>
      <x:c r="U199" s="15" t="n">
        <x:v>0.22590361445783413</x:v>
      </x:c>
    </x:row>
    <x:row r="200">
      <x:c r="A200" s="13" t="str">
        <x:v>all_360</x:v>
      </x:c>
      <x:c r="B200" s="36" t="n">
        <x:v>45926.5</x:v>
      </x:c>
      <x:c r="C200" s="36" t="n">
        <x:v>45926.583333333336</x:v>
      </x:c>
      <x:c r="D200" s="15" t="n">
        <x:v>41054.343597</x:v>
      </x:c>
      <x:c r="E200" s="15" t="n">
        <x:v>40296.253990000005</x:v>
      </x:c>
      <x:c r="F200" s="15" t="n">
        <x:v>81350.597587</x:v>
      </x:c>
      <x:c r="G200" s="15" t="n">
        <x:v>758.0896069999944</x:v>
      </x:c>
      <x:c r="H200" s="15" t="n">
        <x:v>290739.375623</x:v>
      </x:c>
      <x:c r="I200" s="15" t="n">
        <x:v>331793.71922</x:v>
      </x:c>
      <x:c r="J200" s="15" t="n">
        <x:v>54942.31217</x:v>
      </x:c>
      <x:c r="K200" s="15" t="n">
        <x:v>13802.523301</x:v>
      </x:c>
      <x:c r="L200" s="15" t="n">
        <x:v>68744.835471</x:v>
      </x:c>
      <x:c r="M200" s="15" t="n">
        <x:v>41139.788868999996</x:v>
      </x:c>
      <x:c r="N200" s="15" t="n">
        <x:v>2.423182613040219</x:v>
      </x:c>
      <x:c r="O200" s="15" t="n">
        <x:v>207922.83</x:v>
      </x:c>
      <x:c r="P200" s="15" t="n">
        <x:v>836257.25848</x:v>
      </x:c>
      <x:c r="Q200" s="15" t="n">
        <x:v>7126</x:v>
      </x:c>
      <x:c r="R200" s="15" t="n">
        <x:v>10.571081323146458</x:v>
      </x:c>
      <x:c r="S200" s="15" t="n">
        <x:v>0.3727634194830909</x:v>
      </x:c>
      <x:c r="T200" s="15" t="n">
        <x:v>0.10380938941740858</x:v>
      </x:c>
      <x:c r="U200" s="15" t="n">
        <x:v>0.22399203583871596</x:v>
      </x:c>
    </x:row>
    <x:row r="201">
      <x:c r="A201" s="13" t="str">
        <x:v>all_360</x:v>
      </x:c>
      <x:c r="B201" s="36" t="n">
        <x:v>45926.583333333336</x:v>
      </x:c>
      <x:c r="C201" s="36" t="n">
        <x:v>45926.666666666664</x:v>
      </x:c>
      <x:c r="D201" s="15" t="n">
        <x:v>74931.884426</x:v>
      </x:c>
      <x:c r="E201" s="15" t="n">
        <x:v>96875.042685</x:v>
      </x:c>
      <x:c r="F201" s="15" t="n">
        <x:v>171806.927111</x:v>
      </x:c>
      <x:c r="G201" s="15" t="n">
        <x:v>-21943.15825899999</x:v>
      </x:c>
      <x:c r="H201" s="15" t="n">
        <x:v>109252.061778</x:v>
      </x:c>
      <x:c r="I201" s="15" t="n">
        <x:v>184183.946204</x:v>
      </x:c>
      <x:c r="J201" s="15" t="n">
        <x:v>135675.931843</x:v>
      </x:c>
      <x:c r="K201" s="15" t="n">
        <x:v>131318.29272</x:v>
      </x:c>
      <x:c r="L201" s="15" t="n">
        <x:v>266994.224563</x:v>
      </x:c>
      <x:c r="M201" s="15" t="n">
        <x:v>4357.639123000001</x:v>
      </x:c>
      <x:c r="N201" s="15" t="n">
        <x:v>1.2095778820044307</x:v>
      </x:c>
      <x:c r="O201" s="15" t="n">
        <x:v>147041.09</x:v>
      </x:c>
      <x:c r="P201" s="15" t="n">
        <x:v>593662.81294</x:v>
      </x:c>
      <x:c r="Q201" s="15" t="n">
        <x:v>4452</x:v>
      </x:c>
      <x:c r="R201" s="15" t="n">
        <x:v>9.339690177806158</x:v>
      </x:c>
      <x:c r="S201" s="15" t="n">
        <x:v>0.32194155522535794</x:v>
      </x:c>
      <x:c r="T201" s="15" t="n">
        <x:v>0.10194748444750656</x:v>
      </x:c>
      <x:c r="U201" s="15" t="n">
        <x:v>0.17369727047147343</x:v>
      </x:c>
    </x:row>
    <x:row r="202">
      <x:c r="A202" s="13" t="str">
        <x:v>all_360</x:v>
      </x:c>
      <x:c r="B202" s="36" t="n">
        <x:v>45926.666666666664</x:v>
      </x:c>
      <x:c r="C202" s="36" t="n">
        <x:v>45926.75</x:v>
      </x:c>
      <x:c r="D202" s="15" t="n">
        <x:v>58885.971313</x:v>
      </x:c>
      <x:c r="E202" s="15" t="n">
        <x:v>58250.81675</x:v>
      </x:c>
      <x:c r="F202" s="15" t="n">
        <x:v>117136.788063</x:v>
      </x:c>
      <x:c r="G202" s="15" t="n">
        <x:v>635.1545630000037</x:v>
      </x:c>
      <x:c r="H202" s="15" t="n">
        <x:v>117110.112704</x:v>
      </x:c>
      <x:c r="I202" s="15" t="n">
        <x:v>175996.084017</x:v>
      </x:c>
      <x:c r="J202" s="15" t="n">
        <x:v>28993.922018</x:v>
      </x:c>
      <x:c r="K202" s="15" t="n">
        <x:v>6367.080527</x:v>
      </x:c>
      <x:c r="L202" s="15" t="n">
        <x:v>35361.002545</x:v>
      </x:c>
      <x:c r="M202" s="15" t="n">
        <x:v>22626.841491</x:v>
      </x:c>
      <x:c r="N202" s="15" t="n">
        <x:v>2.5141730342617774</x:v>
      </x:c>
      <x:c r="O202" s="15" t="n">
        <x:v>242782.09</x:v>
      </x:c>
      <x:c r="P202" s="15" t="n">
        <x:v>999279.62528</x:v>
      </x:c>
      <x:c r="Q202" s="15" t="n">
        <x:v>5385</x:v>
      </x:c>
      <x:c r="R202" s="15" t="n">
        <x:v>8.343725237362975</x:v>
      </x:c>
      <x:c r="S202" s="15" t="n">
        <x:v>0.19426906265177513</x:v>
      </x:c>
      <x:c r="T202" s="15" t="n">
        <x:v>-0.027180564791207118</x:v>
      </x:c>
      <x:c r="U202" s="15" t="n">
        <x:v>0.14742014742015197</x:v>
      </x:c>
    </x:row>
    <x:row r="203">
      <x:c r="A203" s="13" t="str">
        <x:v>all_360</x:v>
      </x:c>
      <x:c r="B203" s="36" t="n">
        <x:v>45926.75</x:v>
      </x:c>
      <x:c r="C203" s="36" t="n">
        <x:v>45926.833333333336</x:v>
      </x:c>
      <x:c r="D203" s="15" t="n">
        <x:v>223359.068531</x:v>
      </x:c>
      <x:c r="E203" s="15" t="n">
        <x:v>224754.53695399998</x:v>
      </x:c>
      <x:c r="F203" s="15" t="n">
        <x:v>448113.60548499995</x:v>
      </x:c>
      <x:c r="G203" s="15" t="n">
        <x:v>-1395.4684229999839</x:v>
      </x:c>
      <x:c r="H203" s="15" t="n">
        <x:v>266016.910753</x:v>
      </x:c>
      <x:c r="I203" s="15" t="n">
        <x:v>489375.979284</x:v>
      </x:c>
      <x:c r="J203" s="15" t="n">
        <x:v>9324.131088</x:v>
      </x:c>
      <x:c r="K203" s="15" t="n">
        <x:v>4201.0408210000005</x:v>
      </x:c>
      <x:c r="L203" s="15" t="n">
        <x:v>13525.171909</x:v>
      </x:c>
      <x:c r="M203" s="15" t="n">
        <x:v>5123.090267</x:v>
      </x:c>
      <x:c r="N203" s="15" t="n">
        <x:v>1.32530120481927</x:v>
      </x:c>
      <x:c r="O203" s="15" t="n">
        <x:v>174082.2</x:v>
      </x:c>
      <x:c r="P203" s="15" t="n">
        <x:v>724396.5207400001</x:v>
      </x:c>
      <x:c r="Q203" s="15" t="n">
        <x:v>4561</x:v>
      </x:c>
      <x:c r="R203" s="15" t="n">
        <x:v>7.428857603462946</x:v>
      </x:c>
      <x:c r="S203" s="15" t="n">
        <x:v>0.16826923076924682</x:v>
      </x:c>
      <x:c r="T203" s="15" t="n">
        <x:v>-0.00532290265100599</x:v>
      </x:c>
      <x:c r="U203" s="15" t="n">
        <x:v>0.16912297656440645</x:v>
      </x:c>
    </x:row>
    <x:row r="204">
      <x:c r="A204" s="13" t="str">
        <x:v>all_360</x:v>
      </x:c>
      <x:c r="B204" s="36" t="n">
        <x:v>45926.833333333336</x:v>
      </x:c>
      <x:c r="C204" s="36" t="n">
        <x:v>45926.916666666664</x:v>
      </x:c>
      <x:c r="D204" s="15" t="n">
        <x:v>160124.359658</x:v>
      </x:c>
      <x:c r="E204" s="15" t="n">
        <x:v>138589.777753</x:v>
      </x:c>
      <x:c r="F204" s="15" t="n">
        <x:v>298714.137411</x:v>
      </x:c>
      <x:c r="G204" s="15" t="n">
        <x:v>21534.581905</x:v>
      </x:c>
      <x:c r="H204" s="15" t="n">
        <x:v>457060.609075</x:v>
      </x:c>
      <x:c r="I204" s="15" t="n">
        <x:v>617184.968733</x:v>
      </x:c>
      <x:c r="J204" s="15" t="n">
        <x:v>9677.191492</x:v>
      </x:c>
      <x:c r="K204" s="15" t="n">
        <x:v>15099.156673</x:v>
      </x:c>
      <x:c r="L204" s="15" t="n">
        <x:v>24776.348165</x:v>
      </x:c>
      <x:c r="M204" s="15" t="n">
        <x:v>-5421.965181</x:v>
      </x:c>
      <x:c r="N204" s="15" t="n">
        <x:v>0.9647853352629049</x:v>
      </x:c>
      <x:c r="O204" s="15" t="n">
        <x:v>74982.5</x:v>
      </x:c>
      <x:c r="P204" s="15" t="n">
        <x:v>309440.03888</x:v>
      </x:c>
      <x:c r="Q204" s="15" t="n">
        <x:v>2248</x:v>
      </x:c>
      <x:c r="R204" s="15" t="n">
        <x:v>6.27696563801905</x:v>
      </x:c>
      <x:c r="S204" s="15" t="n">
        <x:v>0.26537997587452455</x:v>
      </x:c>
      <x:c r="T204" s="15" t="n">
        <x:v>0.011634546142991198</x:v>
      </x:c>
      <x:c r="U204" s="15" t="n">
        <x:v>0.21828765462043043</x:v>
      </x:c>
    </x:row>
    <x:row r="205">
      <x:c r="A205" s="13" t="str">
        <x:v>all_360</x:v>
      </x:c>
      <x:c r="B205" s="36" t="n">
        <x:v>45926.916666666664</x:v>
      </x:c>
      <x:c r="C205" s="36" t="n">
        <x:v>45927</x:v>
      </x:c>
      <x:c r="D205" s="15" t="n">
        <x:v>15082.142301</x:v>
      </x:c>
      <x:c r="E205" s="15" t="n">
        <x:v>13030.857034</x:v>
      </x:c>
      <x:c r="F205" s="15" t="n">
        <x:v>28112.999335</x:v>
      </x:c>
      <x:c r="G205" s="15" t="n">
        <x:v>2051.2852669999993</x:v>
      </x:c>
      <x:c r="H205" s="15" t="n">
        <x:v>54323.881572</x:v>
      </x:c>
      <x:c r="I205" s="15" t="n">
        <x:v>69406.023873</x:v>
      </x:c>
      <x:c r="J205" s="15" t="n">
        <x:v>2531.047336</x:v>
      </x:c>
      <x:c r="K205" s="15" t="n">
        <x:v>4817.769367</x:v>
      </x:c>
      <x:c r="L205" s="15" t="n">
        <x:v>7348.816703</x:v>
      </x:c>
      <x:c r="M205" s="15" t="n">
        <x:v>-2286.722031</x:v>
      </x:c>
      <x:c r="N205" s="15" t="n">
        <x:v>0.6794467362290819</x:v>
      </x:c>
      <x:c r="O205" s="15" t="n">
        <x:v>82172.09</x:v>
      </x:c>
      <x:c r="P205" s="15" t="n">
        <x:v>338464.37623</x:v>
      </x:c>
      <x:c r="Q205" s="15" t="n">
        <x:v>1666</x:v>
      </x:c>
      <x:c r="R205" s="15" t="n">
        <x:v>4.200185576976478</x:v>
      </x:c>
      <x:c r="S205" s="15" t="n">
        <x:v>0.14563106796117165</x:v>
      </x:c>
      <x:c r="T205" s="15" t="n">
        <x:v>0.017727934767231</x:v>
      </x:c>
      <x:c r="U205" s="15" t="n">
        <x:v>0.19356399709653527</x:v>
      </x:c>
    </x:row>
    <x:row r="206">
      <x:c r="A206" s="13" t="str">
        <x:v>all_360</x:v>
      </x:c>
      <x:c r="B206" s="36" t="n">
        <x:v>45927</x:v>
      </x:c>
      <x:c r="C206" s="36" t="n">
        <x:v>45927.083333333336</x:v>
      </x:c>
      <x:c r="D206" s="15" t="n">
        <x:v>12493.031962</x:v>
      </x:c>
      <x:c r="E206" s="15" t="n">
        <x:v>12753.897630000001</x:v>
      </x:c>
      <x:c r="F206" s="15" t="n">
        <x:v>25246.929592</x:v>
      </x:c>
      <x:c r="G206" s="15" t="n">
        <x:v>-260.8656680000022</x:v>
      </x:c>
      <x:c r="H206" s="15" t="n">
        <x:v>93812.053754</x:v>
      </x:c>
      <x:c r="I206" s="15" t="n">
        <x:v>106305.08571599999</x:v>
      </x:c>
      <x:c r="J206" s="15" t="n">
        <x:v>1319.161803</x:v>
      </x:c>
      <x:c r="K206" s="15" t="n">
        <x:v>5783.570032</x:v>
      </x:c>
      <x:c r="L206" s="15" t="n">
        <x:v>7102.731835</x:v>
      </x:c>
      <x:c r="M206" s="15" t="n">
        <x:v>-4464.408229</x:v>
      </x:c>
      <x:c r="N206" s="15" t="n">
        <x:v>0.7531584062196449</x:v>
      </x:c>
      <x:c r="O206" s="15" t="n">
        <x:v>51308.94</x:v>
      </x:c>
      <x:c r="P206" s="15" t="n">
        <x:v>210704.43801</x:v>
      </x:c>
      <x:c r="Q206" s="15" t="n">
        <x:v>1690</x:v>
      </x:c>
      <x:c r="R206" s="15" t="n">
        <x:v>4.16595301057936</x:v>
      </x:c>
      <x:c r="S206" s="15" t="n">
        <x:v>0.19436345966957758</x:v>
      </x:c>
      <x:c r="T206" s="15" t="n">
        <x:v>0</x:v>
      </x:c>
      <x:c r="U206" s="15" t="n">
        <x:v>0.14637716516223698</x:v>
      </x:c>
    </x:row>
    <x:row r="207">
      <x:c r="A207" s="13" t="str">
        <x:v>all_360</x:v>
      </x:c>
      <x:c r="B207" s="36" t="n">
        <x:v>45927.083333333336</x:v>
      </x:c>
      <x:c r="C207" s="36" t="n">
        <x:v>45927.166666666664</x:v>
      </x:c>
      <x:c r="D207" s="15" t="n">
        <x:v>33975.508788</x:v>
      </x:c>
      <x:c r="E207" s="15" t="n">
        <x:v>28703.095866</x:v>
      </x:c>
      <x:c r="F207" s="15" t="n">
        <x:v>62678.604653999995</x:v>
      </x:c>
      <x:c r="G207" s="15" t="n">
        <x:v>5272.4129219999995</x:v>
      </x:c>
      <x:c r="H207" s="15" t="n">
        <x:v>20902.531917</x:v>
      </x:c>
      <x:c r="I207" s="15" t="n">
        <x:v>54878.040705</x:v>
      </x:c>
      <x:c r="J207" s="15" t="n">
        <x:v>1291.113175</x:v>
      </x:c>
      <x:c r="K207" s="15" t="n">
        <x:v>5031.121714</x:v>
      </x:c>
      <x:c r="L207" s="15" t="n">
        <x:v>6322.234888999999</x:v>
      </x:c>
      <x:c r="M207" s="15" t="n">
        <x:v>-3740.008539</x:v>
      </x:c>
      <x:c r="N207" s="15" t="n">
        <x:v>0.4881620698071655</x:v>
      </x:c>
      <x:c r="O207" s="15" t="n">
        <x:v>44333.82</x:v>
      </x:c>
      <x:c r="P207" s="15" t="n">
        <x:v>181544.26371</x:v>
      </x:c>
      <x:c r="Q207" s="15" t="n">
        <x:v>1326</x:v>
      </x:c>
      <x:c r="R207" s="15" t="n">
        <x:v>4.225023209557377</x:v>
      </x:c>
      <x:c r="S207" s="15" t="n">
        <x:v>0.17077335935595794</x:v>
      </x:c>
      <x:c r="T207" s="15" t="n">
        <x:v>-0.024431956999770854</x:v>
      </x:c>
      <x:c r="U207" s="15" t="n">
        <x:v>0.146484375</x:v>
      </x:c>
    </x:row>
    <x:row r="208">
      <x:c r="A208" s="13" t="str">
        <x:v>all_360</x:v>
      </x:c>
      <x:c r="B208" s="36" t="n">
        <x:v>45927.166666666664</x:v>
      </x:c>
      <x:c r="C208" s="36" t="n">
        <x:v>45927.25</x:v>
      </x:c>
      <x:c r="D208" s="15" t="n">
        <x:v>3164.814482</x:v>
      </x:c>
      <x:c r="E208" s="15" t="n">
        <x:v>1996.012047</x:v>
      </x:c>
      <x:c r="F208" s="15" t="n">
        <x:v>5160.826529</x:v>
      </x:c>
      <x:c r="G208" s="15" t="n">
        <x:v>1168.8024350000003</x:v>
      </x:c>
      <x:c r="H208" s="15" t="n">
        <x:v>46458.791784</x:v>
      </x:c>
      <x:c r="I208" s="15" t="n">
        <x:v>49623.606266</x:v>
      </x:c>
      <x:c r="J208" s="15" t="n">
        <x:v>1252.289499</x:v>
      </x:c>
      <x:c r="K208" s="15" t="n">
        <x:v>1529.03925</x:v>
      </x:c>
      <x:c r="L208" s="15" t="n">
        <x:v>2781.3287490000002</x:v>
      </x:c>
      <x:c r="M208" s="15" t="n">
        <x:v>-276.74975100000006</x:v>
      </x:c>
      <x:c r="N208" s="15" t="n">
        <x:v>0.7093933463796674</x:v>
      </x:c>
      <x:c r="O208" s="15" t="n">
        <x:v>43653.82</x:v>
      </x:c>
      <x:c r="P208" s="15" t="n">
        <x:v>178822.57117</x:v>
      </x:c>
      <x:c r="Q208" s="15" t="n">
        <x:v>1236</x:v>
      </x:c>
      <x:c r="R208" s="15" t="n">
        <x:v>3.6870692027170415</x:v>
      </x:c>
      <x:c r="S208" s="15" t="n">
        <x:v>0.1953125</x:v>
      </x:c>
      <x:c r="T208" s="15" t="n">
        <x:v>-0.0243546030199715</x:v>
      </x:c>
      <x:c r="U208" s="15" t="n">
        <x:v>0.1465201465201349</x:v>
      </x:c>
    </x:row>
    <x:row r="209">
      <x:c r="A209" s="13" t="str">
        <x:v>all_360</x:v>
      </x:c>
      <x:c r="B209" s="36" t="n">
        <x:v>45927.25</x:v>
      </x:c>
      <x:c r="C209" s="36" t="n">
        <x:v>45927.333333333336</x:v>
      </x:c>
      <x:c r="D209" s="15" t="n">
        <x:v>45383.456953</x:v>
      </x:c>
      <x:c r="E209" s="15" t="n">
        <x:v>44060.654598</x:v>
      </x:c>
      <x:c r="F209" s="15" t="n">
        <x:v>89444.11155100001</x:v>
      </x:c>
      <x:c r="G209" s="15" t="n">
        <x:v>1322.8023549999998</x:v>
      </x:c>
      <x:c r="H209" s="15" t="n">
        <x:v>106507.72771600001</x:v>
      </x:c>
      <x:c r="I209" s="15" t="n">
        <x:v>151891.184669</x:v>
      </x:c>
      <x:c r="J209" s="15" t="n">
        <x:v>3290.5357</x:v>
      </x:c>
      <x:c r="K209" s="15" t="n">
        <x:v>1009.84394</x:v>
      </x:c>
      <x:c r="L209" s="15" t="n">
        <x:v>4300.37964</x:v>
      </x:c>
      <x:c r="M209" s="15" t="n">
        <x:v>2280.6917599999997</x:v>
      </x:c>
      <x:c r="N209" s="15" t="n">
        <x:v>0.5842259006815975</x:v>
      </x:c>
      <x:c r="O209" s="15" t="n">
        <x:v>75857.43</x:v>
      </x:c>
      <x:c r="P209" s="15" t="n">
        <x:v>311866.86767</x:v>
      </x:c>
      <x:c r="Q209" s="15" t="n">
        <x:v>1797</x:v>
      </x:c>
      <x:c r="R209" s="15" t="n">
        <x:v>4.767420933688227</x:v>
      </x:c>
      <x:c r="S209" s="15" t="n">
        <x:v>0.2675097276264582</x:v>
      </x:c>
      <x:c r="T209" s="15" t="n">
        <x:v>0.01214034235764716</x:v>
      </x:c>
      <x:c r="U209" s="15" t="n">
        <x:v>0.14570179698883967</x:v>
      </x:c>
    </x:row>
    <x:row r="210">
      <x:c r="A210" s="13" t="str">
        <x:v>all_360</x:v>
      </x:c>
      <x:c r="B210" s="36" t="n">
        <x:v>45927.333333333336</x:v>
      </x:c>
      <x:c r="C210" s="36" t="n">
        <x:v>45927.416666666664</x:v>
      </x:c>
      <x:c r="D210" s="15" t="n">
        <x:v>32259.405981</x:v>
      </x:c>
      <x:c r="E210" s="15" t="n">
        <x:v>32118.159088</x:v>
      </x:c>
      <x:c r="F210" s="15" t="n">
        <x:v>64377.565069000004</x:v>
      </x:c>
      <x:c r="G210" s="15" t="n">
        <x:v>141.24689299999955</x:v>
      </x:c>
      <x:c r="H210" s="15" t="n">
        <x:v>139292.796234</x:v>
      </x:c>
      <x:c r="I210" s="15" t="n">
        <x:v>171552.202215</x:v>
      </x:c>
      <x:c r="J210" s="15" t="n">
        <x:v>1981.1512</x:v>
      </x:c>
      <x:c r="K210" s="15" t="n">
        <x:v>29608.611514</x:v>
      </x:c>
      <x:c r="L210" s="15" t="n">
        <x:v>31589.762714</x:v>
      </x:c>
      <x:c r="M210" s="15" t="n">
        <x:v>-27627.460314</x:v>
      </x:c>
      <x:c r="N210" s="15" t="n">
        <x:v>1.1927945472249362</x:v>
      </x:c>
      <x:c r="O210" s="15" t="n">
        <x:v>106991.9</x:v>
      </x:c>
      <x:c r="P210" s="15" t="n">
        <x:v>436481.23163</x:v>
      </x:c>
      <x:c r="Q210" s="15" t="n">
        <x:v>2935</x:v>
      </x:c>
      <x:c r="R210" s="15" t="n">
        <x:v>5.582720410420516</x:v>
      </x:c>
      <x:c r="S210" s="15" t="n">
        <x:v>0.2195121951219403</x:v>
      </x:c>
      <x:c r="T210" s="15" t="n">
        <x:v>0</x:v>
      </x:c>
      <x:c r="U210" s="15" t="n">
        <x:v>0.12278978388997608</x:v>
      </x:c>
    </x:row>
    <x:row r="211">
      <x:c r="A211" s="13" t="str">
        <x:v>all_360</x:v>
      </x:c>
      <x:c r="B211" s="36" t="n">
        <x:v>45927.416666666664</x:v>
      </x:c>
      <x:c r="C211" s="36" t="n">
        <x:v>45927.5</x:v>
      </x:c>
      <x:c r="D211" s="15" t="n">
        <x:v>51142.713845</x:v>
      </x:c>
      <x:c r="E211" s="15" t="n">
        <x:v>52184.88138</x:v>
      </x:c>
      <x:c r="F211" s="15" t="n">
        <x:v>103327.595225</x:v>
      </x:c>
      <x:c r="G211" s="15" t="n">
        <x:v>-1042.1675350000005</x:v>
      </x:c>
      <x:c r="H211" s="15" t="n">
        <x:v>163370.020856</x:v>
      </x:c>
      <x:c r="I211" s="15" t="n">
        <x:v>214512.73470099998</x:v>
      </x:c>
      <x:c r="J211" s="15" t="n">
        <x:v>1624.858856</x:v>
      </x:c>
      <x:c r="K211" s="15" t="n">
        <x:v>1828.096771</x:v>
      </x:c>
      <x:c r="L211" s="15" t="n">
        <x:v>3452.9556270000003</x:v>
      </x:c>
      <x:c r="M211" s="15" t="n">
        <x:v>-203.23791499999993</x:v>
      </x:c>
      <x:c r="N211" s="15" t="n">
        <x:v>0.6115459882583256</x:v>
      </x:c>
      <x:c r="O211" s="15" t="n">
        <x:v>67474.53</x:v>
      </x:c>
      <x:c r="P211" s="15" t="n">
        <x:v>276041.38711</x:v>
      </x:c>
      <x:c r="Q211" s="15" t="n">
        <x:v>2022</x:v>
      </x:c>
      <x:c r="R211" s="15" t="n">
        <x:v>4.4733697738346345</x:v>
      </x:c>
      <x:c r="S211" s="15" t="n">
        <x:v>0.17094017094015923</x:v>
      </x:c>
      <x:c r="T211" s="15" t="n">
        <x:v>-0.024408103490336508</x:v>
      </x:c>
      <x:c r="U211" s="15" t="n">
        <x:v>0.14680694886223256</x:v>
      </x:c>
    </x:row>
    <x:row r="212">
      <x:c r="A212" s="13" t="str">
        <x:v>all_360</x:v>
      </x:c>
      <x:c r="B212" s="36" t="n">
        <x:v>45927.5</x:v>
      </x:c>
      <x:c r="C212" s="36" t="n">
        <x:v>45927.583333333336</x:v>
      </x:c>
      <x:c r="D212" s="15" t="n">
        <x:v>132881.529935</x:v>
      </x:c>
      <x:c r="E212" s="15" t="n">
        <x:v>132430.771444</x:v>
      </x:c>
      <x:c r="F212" s="15" t="n">
        <x:v>265312.301379</x:v>
      </x:c>
      <x:c r="G212" s="15" t="n">
        <x:v>450.75849099998595</x:v>
      </x:c>
      <x:c r="H212" s="15" t="n">
        <x:v>263054.514855</x:v>
      </x:c>
      <x:c r="I212" s="15" t="n">
        <x:v>395936.04479</x:v>
      </x:c>
      <x:c r="J212" s="15" t="n">
        <x:v>26714.547685</x:v>
      </x:c>
      <x:c r="K212" s="15" t="n">
        <x:v>8743.261986</x:v>
      </x:c>
      <x:c r="L212" s="15" t="n">
        <x:v>35457.809671</x:v>
      </x:c>
      <x:c r="M212" s="15" t="n">
        <x:v>17971.285699</x:v>
      </x:c>
      <x:c r="N212" s="15" t="n">
        <x:v>0.7085267529929127</x:v>
      </x:c>
      <x:c r="O212" s="15" t="n">
        <x:v>63900.32</x:v>
      </x:c>
      <x:c r="P212" s="15" t="n">
        <x:v>261366.6715</x:v>
      </x:c>
      <x:c r="Q212" s="15" t="n">
        <x:v>2192</x:v>
      </x:c>
      <x:c r="R212" s="15" t="n">
        <x:v>4.868226250712526</x:v>
      </x:c>
      <x:c r="S212" s="15" t="n">
        <x:v>0.19540791402051783</x:v>
      </x:c>
      <x:c r="T212" s="15" t="n">
        <x:v>-0.011010764035912501</x:v>
      </x:c>
      <x:c r="U212" s="15" t="n">
        <x:v>0.14627011214042307</x:v>
      </x:c>
    </x:row>
    <x:row r="213">
      <x:c r="A213" s="13" t="str">
        <x:v>all_360</x:v>
      </x:c>
      <x:c r="B213" s="36" t="n">
        <x:v>45927.583333333336</x:v>
      </x:c>
      <x:c r="C213" s="36" t="n">
        <x:v>45927.666666666664</x:v>
      </x:c>
      <x:c r="D213" s="15" t="n">
        <x:v>34907.277837</x:v>
      </x:c>
      <x:c r="E213" s="15" t="n">
        <x:v>27165.189231</x:v>
      </x:c>
      <x:c r="F213" s="15" t="n">
        <x:v>62072.467068</x:v>
      </x:c>
      <x:c r="G213" s="15" t="n">
        <x:v>7742.088606000001</x:v>
      </x:c>
      <x:c r="H213" s="15" t="n">
        <x:v>198319.806046</x:v>
      </x:c>
      <x:c r="I213" s="15" t="n">
        <x:v>233227.083883</x:v>
      </x:c>
      <x:c r="J213" s="15" t="n">
        <x:v>30902.97945</x:v>
      </x:c>
      <x:c r="K213" s="15" t="n">
        <x:v>9824.935667</x:v>
      </x:c>
      <x:c r="L213" s="15" t="n">
        <x:v>40727.915117</x:v>
      </x:c>
      <x:c r="M213" s="15" t="n">
        <x:v>21078.043783</x:v>
      </x:c>
      <x:c r="N213" s="15" t="n">
        <x:v>0.7585025691216194</x:v>
      </x:c>
      <x:c r="O213" s="15" t="n">
        <x:v>79419.38</x:v>
      </x:c>
      <x:c r="P213" s="15" t="n">
        <x:v>324719.97543</x:v>
      </x:c>
      <x:c r="Q213" s="15" t="n">
        <x:v>2323</x:v>
      </x:c>
      <x:c r="R213" s="15" t="n">
        <x:v>4.57507131910635</x:v>
      </x:c>
      <x:c r="S213" s="15" t="n">
        <x:v>0.17156862745096868</x:v>
      </x:c>
      <x:c r="T213" s="15" t="n">
        <x:v>-0.03058987338682151</x:v>
      </x:c>
      <x:c r="U213" s="15" t="n">
        <x:v>0.14680694886223256</x:v>
      </x:c>
    </x:row>
    <x:row r="214">
      <x:c r="A214" s="13" t="str">
        <x:v>all_360</x:v>
      </x:c>
      <x:c r="B214" s="36" t="n">
        <x:v>45927.666666666664</x:v>
      </x:c>
      <x:c r="C214" s="36" t="n">
        <x:v>45927.75</x:v>
      </x:c>
      <x:c r="D214" s="15" t="n">
        <x:v>62395.113416</x:v>
      </x:c>
      <x:c r="E214" s="15" t="n">
        <x:v>74180.015756</x:v>
      </x:c>
      <x:c r="F214" s="15" t="n">
        <x:v>136575.129172</x:v>
      </x:c>
      <x:c r="G214" s="15" t="n">
        <x:v>-11784.902339999993</x:v>
      </x:c>
      <x:c r="H214" s="15" t="n">
        <x:v>265473.179332</x:v>
      </x:c>
      <x:c r="I214" s="15" t="n">
        <x:v>327868.292748</x:v>
      </x:c>
      <x:c r="J214" s="15" t="n">
        <x:v>7029.571687</x:v>
      </x:c>
      <x:c r="K214" s="15" t="n">
        <x:v>4260.413887</x:v>
      </x:c>
      <x:c r="L214" s="15" t="n">
        <x:v>11289.985573999998</x:v>
      </x:c>
      <x:c r="M214" s="15" t="n">
        <x:v>2769.1578</x:v>
      </x:c>
      <x:c r="N214" s="15" t="n">
        <x:v>1.0980966325036585</x:v>
      </x:c>
      <x:c r="O214" s="15" t="n">
        <x:v>139018.71</x:v>
      </x:c>
      <x:c r="P214" s="15" t="n">
        <x:v>566996.94571</x:v>
      </x:c>
      <x:c r="Q214" s="15" t="n">
        <x:v>3242</x:v>
      </x:c>
      <x:c r="R214" s="15" t="n">
        <x:v>5.369201048623085</x:v>
      </x:c>
      <x:c r="S214" s="15" t="n">
        <x:v>0.2936138977244762</x:v>
      </x:c>
      <x:c r="T214" s="15" t="n">
        <x:v>0.171484566389013</x:v>
      </x:c>
      <x:c r="U214" s="15" t="n">
        <x:v>0.2692119432207596</x:v>
      </x:c>
    </x:row>
    <x:row r="215">
      <x:c r="A215" s="13" t="str">
        <x:v>all_360</x:v>
      </x:c>
      <x:c r="B215" s="36" t="n">
        <x:v>45927.75</x:v>
      </x:c>
      <x:c r="C215" s="36" t="n">
        <x:v>45927.833333333336</x:v>
      </x:c>
      <x:c r="D215" s="15" t="n">
        <x:v>42797.690339</x:v>
      </x:c>
      <x:c r="E215" s="15" t="n">
        <x:v>42741.33071</x:v>
      </x:c>
      <x:c r="F215" s="15" t="n">
        <x:v>85539.021049</x:v>
      </x:c>
      <x:c r="G215" s="15" t="n">
        <x:v>56.35962899999868</x:v>
      </x:c>
      <x:c r="H215" s="15" t="n">
        <x:v>84151.511087</x:v>
      </x:c>
      <x:c r="I215" s="15" t="n">
        <x:v>126949.20142600001</x:v>
      </x:c>
      <x:c r="J215" s="15" t="n">
        <x:v>3779.846614</x:v>
      </x:c>
      <x:c r="K215" s="15" t="n">
        <x:v>3869.43638</x:v>
      </x:c>
      <x:c r="L215" s="15" t="n">
        <x:v>7649.282994</x:v>
      </x:c>
      <x:c r="M215" s="15" t="n">
        <x:v>-89.58976600000005</x:v>
      </x:c>
      <x:c r="N215" s="15" t="n">
        <x:v>0.5153374233128812</x:v>
      </x:c>
      <x:c r="O215" s="15" t="n">
        <x:v>85551.01</x:v>
      </x:c>
      <x:c r="P215" s="15" t="n">
        <x:v>348184.36984</x:v>
      </x:c>
      <x:c r="Q215" s="15" t="n">
        <x:v>2167</x:v>
      </x:c>
      <x:c r="R215" s="15" t="n">
        <x:v>4.520528060344131</x:v>
      </x:c>
      <x:c r="S215" s="15" t="n">
        <x:v>0.17177914110431125</x:v>
      </x:c>
      <x:c r="T215" s="15" t="n">
        <x:v>-0.06372993102039537</x:v>
      </x:c>
      <x:c r="U215" s="15" t="n">
        <x:v>0.0983767830791793</x:v>
      </x:c>
    </x:row>
    <x:row r="216">
      <x:c r="A216" s="13" t="str">
        <x:v>all_360</x:v>
      </x:c>
      <x:c r="B216" s="36" t="n">
        <x:v>45927.833333333336</x:v>
      </x:c>
      <x:c r="C216" s="36" t="n">
        <x:v>45927.916666666664</x:v>
      </x:c>
      <x:c r="D216" s="15" t="n">
        <x:v>78637.137822</x:v>
      </x:c>
      <x:c r="E216" s="15" t="n">
        <x:v>77396.948401</x:v>
      </x:c>
      <x:c r="F216" s="15" t="n">
        <x:v>156034.08622300002</x:v>
      </x:c>
      <x:c r="G216" s="15" t="n">
        <x:v>1240.1894210000028</x:v>
      </x:c>
      <x:c r="H216" s="15" t="n">
        <x:v>155579.779577</x:v>
      </x:c>
      <x:c r="I216" s="15" t="n">
        <x:v>234216.91739900003</x:v>
      </x:c>
      <x:c r="J216" s="15" t="n">
        <x:v>21359.052639</x:v>
      </x:c>
      <x:c r="K216" s="15" t="n">
        <x:v>197020.913687</x:v>
      </x:c>
      <x:c r="L216" s="15" t="n">
        <x:v>218379.966326</x:v>
      </x:c>
      <x:c r="M216" s="15" t="n">
        <x:v>-175661.861048</x:v>
      </x:c>
      <x:c r="N216" s="15" t="n">
        <x:v>1.3245033112582847</x:v>
      </x:c>
      <x:c r="O216" s="15" t="n">
        <x:v>134234.98</x:v>
      </x:c>
      <x:c r="P216" s="15" t="n">
        <x:v>550241.98454</x:v>
      </x:c>
      <x:c r="Q216" s="15" t="n">
        <x:v>2782</x:v>
      </x:c>
      <x:c r="R216" s="15" t="n">
        <x:v>5.465203372581584</x:v>
      </x:c>
      <x:c r="S216" s="15" t="n">
        <x:v>0.14669926650366927</x:v>
      </x:c>
      <x:c r="T216" s="15" t="n">
        <x:v>-0.05549882231516978</x:v>
      </x:c>
      <x:c r="U216" s="15" t="n">
        <x:v>0.12251899044354309</x:v>
      </x:c>
    </x:row>
    <x:row r="217">
      <x:c r="A217" s="13" t="str">
        <x:v>all_360</x:v>
      </x:c>
      <x:c r="B217" s="36" t="n">
        <x:v>45927.916666666664</x:v>
      </x:c>
      <x:c r="C217" s="36" t="n">
        <x:v>45928</x:v>
      </x:c>
      <x:c r="D217" s="15" t="n">
        <x:v>29352.631801</x:v>
      </x:c>
      <x:c r="E217" s="15" t="n">
        <x:v>29563.487385</x:v>
      </x:c>
      <x:c r="F217" s="15" t="n">
        <x:v>58916.119185999996</x:v>
      </x:c>
      <x:c r="G217" s="15" t="n">
        <x:v>-210.85558400000082</x:v>
      </x:c>
      <x:c r="H217" s="15" t="n">
        <x:v>91007.92284099999</x:v>
      </x:c>
      <x:c r="I217" s="15" t="n">
        <x:v>120360.55464199999</x:v>
      </x:c>
      <x:c r="J217" s="15" t="n">
        <x:v>13757.392038</x:v>
      </x:c>
      <x:c r="K217" s="15" t="n">
        <x:v>5635.308957</x:v>
      </x:c>
      <x:c r="L217" s="15" t="n">
        <x:v>19392.700995</x:v>
      </x:c>
      <x:c r="M217" s="15" t="n">
        <x:v>8122.083081</x:v>
      </x:c>
      <x:c r="N217" s="15" t="n">
        <x:v>1.2599951538647833</x:v>
      </x:c>
      <x:c r="O217" s="15" t="n">
        <x:v>136443.22</x:v>
      </x:c>
      <x:c r="P217" s="15" t="n">
        <x:v>564341.0099300001</x:v>
      </x:c>
      <x:c r="Q217" s="15" t="n">
        <x:v>2602</x:v>
      </x:c>
      <x:c r="R217" s="15" t="n">
        <x:v>4.37915903650421</x:v>
      </x:c>
      <x:c r="S217" s="15" t="n">
        <x:v>0.21650228530191162</x:v>
      </x:c>
      <x:c r="T217" s="15" t="n">
        <x:v>0</x:v>
      </x:c>
      <x:c r="U217" s="15" t="n">
        <x:v>0.12080212611741414</x:v>
      </x:c>
    </x:row>
    <x:row r="218">
      <x:c r="A218" s="13" t="str">
        <x:v>all_360</x:v>
      </x:c>
      <x:c r="B218" s="36" t="n">
        <x:v>45928</x:v>
      </x:c>
      <x:c r="C218" s="36" t="n">
        <x:v>45928.083333333336</x:v>
      </x:c>
      <x:c r="D218" s="15" t="n">
        <x:v>23330.950044</x:v>
      </x:c>
      <x:c r="E218" s="15" t="n">
        <x:v>22997.93054</x:v>
      </x:c>
      <x:c r="F218" s="15" t="n">
        <x:v>46328.880584</x:v>
      </x:c>
      <x:c r="G218" s="15" t="n">
        <x:v>333.01950399999987</x:v>
      </x:c>
      <x:c r="H218" s="15" t="n">
        <x:v>73469.285258</x:v>
      </x:c>
      <x:c r="I218" s="15" t="n">
        <x:v>96800.235302</x:v>
      </x:c>
      <x:c r="J218" s="15" t="n">
        <x:v>5260.78616</x:v>
      </x:c>
      <x:c r="K218" s="15" t="n">
        <x:v>10540.425825</x:v>
      </x:c>
      <x:c r="L218" s="15" t="n">
        <x:v>15801.211985</x:v>
      </x:c>
      <x:c r="M218" s="15" t="n">
        <x:v>-5279.639665000001</x:v>
      </x:c>
      <x:c r="N218" s="15" t="n">
        <x:v>1.4348249027237179</x:v>
      </x:c>
      <x:c r="O218" s="15" t="n">
        <x:v>70246.13</x:v>
      </x:c>
      <x:c r="P218" s="15" t="n">
        <x:v>287589.96546</x:v>
      </x:c>
      <x:c r="Q218" s="15" t="n">
        <x:v>1816</x:v>
      </x:c>
      <x:c r="R218" s="15" t="n">
        <x:v>5.640707888433938</x:v>
      </x:c>
      <x:c r="S218" s="15" t="n">
        <x:v>0.24242424242423288</x:v>
      </x:c>
      <x:c r="T218" s="15" t="n">
        <x:v>0.009238244950593444</x:v>
      </x:c>
      <x:c r="U218" s="15" t="n">
        <x:v>0.16973811833170815</x:v>
      </x:c>
    </x:row>
    <x:row r="219">
      <x:c r="A219" s="13" t="str">
        <x:v>all_360</x:v>
      </x:c>
      <x:c r="B219" s="36" t="n">
        <x:v>45928.083333333336</x:v>
      </x:c>
      <x:c r="C219" s="36" t="n">
        <x:v>45928.166666666664</x:v>
      </x:c>
      <x:c r="D219" s="15" t="n">
        <x:v>7184.798803</x:v>
      </x:c>
      <x:c r="E219" s="15" t="n">
        <x:v>7123.82476</x:v>
      </x:c>
      <x:c r="F219" s="15" t="n">
        <x:v>14308.623563000001</x:v>
      </x:c>
      <x:c r="G219" s="15" t="n">
        <x:v>60.974042999999256</x:v>
      </x:c>
      <x:c r="H219" s="15" t="n">
        <x:v>87264.09916</x:v>
      </x:c>
      <x:c r="I219" s="15" t="n">
        <x:v>94448.897963</x:v>
      </x:c>
      <x:c r="J219" s="15" t="n">
        <x:v>4342.7861920000005</x:v>
      </x:c>
      <x:c r="K219" s="15" t="n">
        <x:v>29253.896629</x:v>
      </x:c>
      <x:c r="L219" s="15" t="n">
        <x:v>33596.682821</x:v>
      </x:c>
      <x:c r="M219" s="15" t="n">
        <x:v>-24911.110437</x:v>
      </x:c>
      <x:c r="N219" s="15" t="n">
        <x:v>0.7118311242022561</x:v>
      </x:c>
      <x:c r="O219" s="15" t="n">
        <x:v>38773.65</x:v>
      </x:c>
      <x:c r="P219" s="15" t="n">
        <x:v>157854.03521</x:v>
      </x:c>
      <x:c r="Q219" s="15" t="n">
        <x:v>1114</x:v>
      </x:c>
      <x:c r="R219" s="15" t="n">
        <x:v>3.9294518029999725</x:v>
      </x:c>
      <x:c r="S219" s="15" t="n">
        <x:v>0.14713094654242864</x:v>
      </x:c>
      <x:c r="T219" s="15" t="n">
        <x:v>-0.0416298139819693</x:v>
      </x:c>
      <x:c r="U219" s="15" t="n">
        <x:v>0.09825595676736798</x:v>
      </x:c>
    </x:row>
    <x:row r="220">
      <x:c r="A220" s="13" t="str">
        <x:v>all_360</x:v>
      </x:c>
      <x:c r="B220" s="36" t="n">
        <x:v>45928.166666666664</x:v>
      </x:c>
      <x:c r="C220" s="36" t="n">
        <x:v>45928.25</x:v>
      </x:c>
      <x:c r="D220" s="15" t="n">
        <x:v>6276.722832</x:v>
      </x:c>
      <x:c r="E220" s="15" t="n">
        <x:v>6173.3306649999995</x:v>
      </x:c>
      <x:c r="F220" s="15" t="n">
        <x:v>12450.053497</x:v>
      </x:c>
      <x:c r="G220" s="15" t="n">
        <x:v>103.39216700000088</x:v>
      </x:c>
      <x:c r="H220" s="15" t="n">
        <x:v>82628.685444</x:v>
      </x:c>
      <x:c r="I220" s="15" t="n">
        <x:v>88905.408276</x:v>
      </x:c>
      <x:c r="J220" s="15" t="n">
        <x:v>3495.576866</x:v>
      </x:c>
      <x:c r="K220" s="15" t="n">
        <x:v>3787.362954</x:v>
      </x:c>
      <x:c r="L220" s="15" t="n">
        <x:v>7282.93982</x:v>
      </x:c>
      <x:c r="M220" s="15" t="n">
        <x:v>-291.7860880000003</x:v>
      </x:c>
      <x:c r="N220" s="15" t="n">
        <x:v>0.5652494470385768</x:v>
      </x:c>
      <x:c r="O220" s="15" t="n">
        <x:v>50967.81</x:v>
      </x:c>
      <x:c r="P220" s="15" t="n">
        <x:v>207123.10442</x:v>
      </x:c>
      <x:c r="Q220" s="15" t="n">
        <x:v>1183</x:v>
      </x:c>
      <x:c r="R220" s="15" t="n">
        <x:v>4.034989893407803</x:v>
      </x:c>
      <x:c r="S220" s="15" t="n">
        <x:v>0.1719901719901884</x:v>
      </x:c>
      <x:c r="T220" s="15" t="n">
        <x:v>-0.024673081667914154</x:v>
      </x:c>
      <x:c r="U220" s="15" t="n">
        <x:v>0.12300123001232066</x:v>
      </x:c>
    </x:row>
    <x:row r="221">
      <x:c r="A221" s="13" t="str">
        <x:v>all_360</x:v>
      </x:c>
      <x:c r="B221" s="36" t="n">
        <x:v>45928.25</x:v>
      </x:c>
      <x:c r="C221" s="36" t="n">
        <x:v>45928.333333333336</x:v>
      </x:c>
      <x:c r="D221" s="15" t="n">
        <x:v>21574.530216</x:v>
      </x:c>
      <x:c r="E221" s="15" t="n">
        <x:v>18388.284485</x:v>
      </x:c>
      <x:c r="F221" s="15" t="n">
        <x:v>39962.814700999996</x:v>
      </x:c>
      <x:c r="G221" s="15" t="n">
        <x:v>3186.245730999999</x:v>
      </x:c>
      <x:c r="H221" s="15" t="n">
        <x:v>130710.25706</x:v>
      </x:c>
      <x:c r="I221" s="15" t="n">
        <x:v>152284.78727600002</x:v>
      </x:c>
      <x:c r="J221" s="15" t="n">
        <x:v>8179.668309</x:v>
      </x:c>
      <x:c r="K221" s="15" t="n">
        <x:v>3810.112465</x:v>
      </x:c>
      <x:c r="L221" s="15" t="n">
        <x:v>11989.780773999999</x:v>
      </x:c>
      <x:c r="M221" s="15" t="n">
        <x:v>4369.5558439999995</x:v>
      </x:c>
      <x:c r="N221" s="15" t="n">
        <x:v>0.7392804337111939</x:v>
      </x:c>
      <x:c r="O221" s="15" t="n">
        <x:v>152167.25</x:v>
      </x:c>
      <x:c r="P221" s="15" t="n">
        <x:v>615777.02502</x:v>
      </x:c>
      <x:c r="Q221" s="15" t="n">
        <x:v>2799</x:v>
      </x:c>
      <x:c r="R221" s="15" t="n">
        <x:v>4.8956573338338805</x:v>
      </x:c>
      <x:c r="S221" s="15" t="n">
        <x:v>0.19753086419752597</x:v>
      </x:c>
      <x:c r="T221" s="15" t="n">
        <x:v>-0.02430951480825172</x:v>
      </x:c>
      <x:c r="U221" s="15" t="n">
        <x:v>0.17301038062285112</x:v>
      </x:c>
    </x:row>
    <x:row r="222">
      <x:c r="A222" s="13" t="str">
        <x:v>all_360</x:v>
      </x:c>
      <x:c r="B222" s="36" t="n">
        <x:v>45928.333333333336</x:v>
      </x:c>
      <x:c r="C222" s="36" t="n">
        <x:v>45928.416666666664</x:v>
      </x:c>
      <x:c r="D222" s="15" t="n">
        <x:v>54595.150322</x:v>
      </x:c>
      <x:c r="E222" s="15" t="n">
        <x:v>53823.199813</x:v>
      </x:c>
      <x:c r="F222" s="15" t="n">
        <x:v>108418.350135</x:v>
      </x:c>
      <x:c r="G222" s="15" t="n">
        <x:v>771.9505090000021</x:v>
      </x:c>
      <x:c r="H222" s="15" t="n">
        <x:v>221767.093108</x:v>
      </x:c>
      <x:c r="I222" s="15" t="n">
        <x:v>276362.24343000003</x:v>
      </x:c>
      <x:c r="J222" s="15" t="n">
        <x:v>7181.793162</x:v>
      </x:c>
      <x:c r="K222" s="15" t="n">
        <x:v>8984.625899</x:v>
      </x:c>
      <x:c r="L222" s="15" t="n">
        <x:v>16166.419061</x:v>
      </x:c>
      <x:c r="M222" s="15" t="n">
        <x:v>-1802.8327370000006</x:v>
      </x:c>
      <x:c r="N222" s="15" t="n">
        <x:v>0.6432459178624395</x:v>
      </x:c>
      <x:c r="O222" s="15" t="n">
        <x:v>74712.52</x:v>
      </x:c>
      <x:c r="P222" s="15" t="n">
        <x:v>301673.5255</x:v>
      </x:c>
      <x:c r="Q222" s="15" t="n">
        <x:v>2425</x:v>
      </x:c>
      <x:c r="R222" s="15" t="n">
        <x:v>5.348165756806611</x:v>
      </x:c>
      <x:c r="S222" s="15" t="n">
        <x:v>0.1980198019801982</x:v>
      </x:c>
      <x:c r="T222" s="15" t="n">
        <x:v>-0.02475860361477178</x:v>
      </x:c>
      <x:c r="U222" s="15" t="n">
        <x:v>0.14866204162535812</x:v>
      </x:c>
    </x:row>
    <x:row r="223">
      <x:c r="A223" s="13" t="str">
        <x:v>all_360</x:v>
      </x:c>
      <x:c r="B223" s="36" t="n">
        <x:v>45928.416666666664</x:v>
      </x:c>
      <x:c r="C223" s="36" t="n">
        <x:v>45928.5</x:v>
      </x:c>
      <x:c r="D223" s="15" t="n">
        <x:v>39871.878917</x:v>
      </x:c>
      <x:c r="E223" s="15" t="n">
        <x:v>39920.060733</x:v>
      </x:c>
      <x:c r="F223" s="15" t="n">
        <x:v>79791.93965</x:v>
      </x:c>
      <x:c r="G223" s="15" t="n">
        <x:v>-48.181815999996616</x:v>
      </x:c>
      <x:c r="H223" s="15" t="n">
        <x:v>125461.710849</x:v>
      </x:c>
      <x:c r="I223" s="15" t="n">
        <x:v>165333.589766</x:v>
      </x:c>
      <x:c r="J223" s="15" t="n">
        <x:v>5331.476705</x:v>
      </x:c>
      <x:c r="K223" s="15" t="n">
        <x:v>3735.027605</x:v>
      </x:c>
      <x:c r="L223" s="15" t="n">
        <x:v>9066.50431</x:v>
      </x:c>
      <x:c r="M223" s="15" t="n">
        <x:v>1596.4490999999998</x:v>
      </x:c>
      <x:c r="N223" s="15" t="n">
        <x:v>0.7433102081268645</x:v>
      </x:c>
      <x:c r="O223" s="15" t="n">
        <x:v>88721.84</x:v>
      </x:c>
      <x:c r="P223" s="15" t="n">
        <x:v>358355.0565</x:v>
      </x:c>
      <x:c r="Q223" s="15" t="n">
        <x:v>2181</x:v>
      </x:c>
      <x:c r="R223" s="15" t="n">
        <x:v>5.148498056225459</x:v>
      </x:c>
      <x:c r="S223" s="15" t="n">
        <x:v>0.24721878862793423</x:v>
      </x:c>
      <x:c r="T223" s="15" t="n">
        <x:v>-0.024709661477650968</x:v>
      </x:c>
      <x:c r="U223" s="15" t="n">
        <x:v>0.14866204162535812</x:v>
      </x:c>
    </x:row>
    <x:row r="224">
      <x:c r="A224" s="13" t="str">
        <x:v>all_360</x:v>
      </x:c>
      <x:c r="B224" s="36" t="n">
        <x:v>45928.5</x:v>
      </x:c>
      <x:c r="C224" s="36" t="n">
        <x:v>45928.583333333336</x:v>
      </x:c>
      <x:c r="D224" s="15" t="n">
        <x:v>75906.375696</x:v>
      </x:c>
      <x:c r="E224" s="15" t="n">
        <x:v>63238.711168999995</x:v>
      </x:c>
      <x:c r="F224" s="15" t="n">
        <x:v>139145.086865</x:v>
      </x:c>
      <x:c r="G224" s="15" t="n">
        <x:v>12667.664527000008</x:v>
      </x:c>
      <x:c r="H224" s="15" t="n">
        <x:v>167445.795073</x:v>
      </x:c>
      <x:c r="I224" s="15" t="n">
        <x:v>243352.170769</x:v>
      </x:c>
      <x:c r="J224" s="15" t="n">
        <x:v>12578.768165</x:v>
      </x:c>
      <x:c r="K224" s="15" t="n">
        <x:v>15180.382878999999</x:v>
      </x:c>
      <x:c r="L224" s="15" t="n">
        <x:v>27759.151044</x:v>
      </x:c>
      <x:c r="M224" s="15" t="n">
        <x:v>-2601.6147139999994</x:v>
      </x:c>
      <x:c r="N224" s="15" t="n">
        <x:v>1.9278299555116236</x:v>
      </x:c>
      <x:c r="O224" s="15" t="n">
        <x:v>170028.17</x:v>
      </x:c>
      <x:c r="P224" s="15" t="n">
        <x:v>690564.3510499999</x:v>
      </x:c>
      <x:c r="Q224" s="15" t="n">
        <x:v>4687</x:v>
      </x:c>
      <x:c r="R224" s="15" t="n">
        <x:v>7.049190752676093</x:v>
      </x:c>
      <x:c r="S224" s="15" t="n">
        <x:v>0.1733531451213577</x:v>
      </x:c>
      <x:c r="T224" s="15" t="n">
        <x:v>-0.04911591355598599</x:v>
      </x:c>
      <x:c r="U224" s="15" t="n">
        <x:v>0.12397718819738834</x:v>
      </x:c>
    </x:row>
    <x:row r="225">
      <x:c r="A225" s="13" t="str">
        <x:v>all_360</x:v>
      </x:c>
      <x:c r="B225" s="36" t="n">
        <x:v>45928.583333333336</x:v>
      </x:c>
      <x:c r="C225" s="36" t="n">
        <x:v>45928.666666666664</x:v>
      </x:c>
      <x:c r="D225" s="15" t="n">
        <x:v>50789.789555999996</x:v>
      </x:c>
      <x:c r="E225" s="15" t="n">
        <x:v>56681.286496</x:v>
      </x:c>
      <x:c r="F225" s="15" t="n">
        <x:v>107471.07605199999</x:v>
      </x:c>
      <x:c r="G225" s="15" t="n">
        <x:v>-5891.4969400000045</x:v>
      </x:c>
      <x:c r="H225" s="15" t="n">
        <x:v>845059.295207</x:v>
      </x:c>
      <x:c r="I225" s="15" t="n">
        <x:v>895849.084763</x:v>
      </x:c>
      <x:c r="J225" s="15" t="n">
        <x:v>7520.155783</x:v>
      </x:c>
      <x:c r="K225" s="15" t="n">
        <x:v>11537.753501000001</x:v>
      </x:c>
      <x:c r="L225" s="15" t="n">
        <x:v>19057.909284</x:v>
      </x:c>
      <x:c r="M225" s="15" t="n">
        <x:v>-4017.597718000001</x:v>
      </x:c>
      <x:c r="N225" s="15" t="n">
        <x:v>0.6590187942396908</x:v>
      </x:c>
      <x:c r="O225" s="15" t="n">
        <x:v>85436.93</x:v>
      </x:c>
      <x:c r="P225" s="15" t="n">
        <x:v>349989.79781</x:v>
      </x:c>
      <x:c r="Q225" s="15" t="n">
        <x:v>2390</x:v>
      </x:c>
      <x:c r="R225" s="15" t="n">
        <x:v>4.931691630182478</x:v>
      </x:c>
      <x:c r="S225" s="15" t="n">
        <x:v>0.14641288433382416</x:v>
      </x:c>
      <x:c r="T225" s="15" t="n">
        <x:v>-0.04711648258628465</x:v>
      </x:c>
      <x:c r="U225" s="15" t="n">
        <x:v>0.09763241396144595</x:v>
      </x:c>
    </x:row>
    <x:row r="226">
      <x:c r="A226" s="13" t="str">
        <x:v>all_360</x:v>
      </x:c>
      <x:c r="B226" s="36" t="n">
        <x:v>45928.666666666664</x:v>
      </x:c>
      <x:c r="C226" s="36" t="n">
        <x:v>45928.75</x:v>
      </x:c>
      <x:c r="D226" s="15" t="n">
        <x:v>202356.891661</x:v>
      </x:c>
      <x:c r="E226" s="15" t="n">
        <x:v>217260.489851</x:v>
      </x:c>
      <x:c r="F226" s="15" t="n">
        <x:v>419617.381512</x:v>
      </x:c>
      <x:c r="G226" s="15" t="n">
        <x:v>-14903.59818999999</x:v>
      </x:c>
      <x:c r="H226" s="15" t="n">
        <x:v>87529.919842</x:v>
      </x:c>
      <x:c r="I226" s="15" t="n">
        <x:v>289886.811503</x:v>
      </x:c>
      <x:c r="J226" s="15" t="n">
        <x:v>8163.655806</x:v>
      </x:c>
      <x:c r="K226" s="15" t="n">
        <x:v>4240.350514</x:v>
      </x:c>
      <x:c r="L226" s="15" t="n">
        <x:v>12404.00632</x:v>
      </x:c>
      <x:c r="M226" s="15" t="n">
        <x:v>3923.305292</x:v>
      </x:c>
      <x:c r="N226" s="15" t="n">
        <x:v>1.172447484123108</x:v>
      </x:c>
      <x:c r="O226" s="15" t="n">
        <x:v>83442.79</x:v>
      </x:c>
      <x:c r="P226" s="15" t="n">
        <x:v>341938.78862</x:v>
      </x:c>
      <x:c r="Q226" s="15" t="n">
        <x:v>2256</x:v>
      </x:c>
      <x:c r="R226" s="15" t="n">
        <x:v>5.8087398721389905</x:v>
      </x:c>
      <x:c r="S226" s="15" t="n">
        <x:v>0.14698677119059367</x:v>
      </x:c>
      <x:c r="T226" s="15" t="n">
        <x:v>-0.024437927663734094</x:v>
      </x:c>
      <x:c r="U226" s="15" t="n">
        <x:v>0.1217730150998464</x:v>
      </x:c>
    </x:row>
    <x:row r="227">
      <x:c r="A227" s="13" t="str">
        <x:v>all_360</x:v>
      </x:c>
      <x:c r="B227" s="36" t="n">
        <x:v>45928.75</x:v>
      </x:c>
      <x:c r="C227" s="36" t="n">
        <x:v>45928.833333333336</x:v>
      </x:c>
      <x:c r="D227" s="15" t="n">
        <x:v>15569.772345</x:v>
      </x:c>
      <x:c r="E227" s="15" t="n">
        <x:v>16373.681572</x:v>
      </x:c>
      <x:c r="F227" s="15" t="n">
        <x:v>31943.453917</x:v>
      </x:c>
      <x:c r="G227" s="15" t="n">
        <x:v>-803.9092270000001</x:v>
      </x:c>
      <x:c r="H227" s="15" t="n">
        <x:v>184575.06106500002</x:v>
      </x:c>
      <x:c r="I227" s="15" t="n">
        <x:v>200144.83341000002</x:v>
      </x:c>
      <x:c r="J227" s="15" t="n">
        <x:v>7729.03342</x:v>
      </x:c>
      <x:c r="K227" s="15" t="n">
        <x:v>4847.115575</x:v>
      </x:c>
      <x:c r="L227" s="15" t="n">
        <x:v>12576.148995</x:v>
      </x:c>
      <x:c r="M227" s="15" t="n">
        <x:v>2881.917845</x:v>
      </x:c>
      <x:c r="N227" s="15" t="n">
        <x:v>0.6819288845591716</x:v>
      </x:c>
      <x:c r="O227" s="15" t="n">
        <x:v>48569.25</x:v>
      </x:c>
      <x:c r="P227" s="15" t="n">
        <x:v>199605.23462</x:v>
      </x:c>
      <x:c r="Q227" s="15" t="n">
        <x:v>1363</x:v>
      </x:c>
      <x:c r="R227" s="15" t="n">
        <x:v>4.014113203184078</x:v>
      </x:c>
      <x:c r="S227" s="15" t="n">
        <x:v>0.14602092966659042</x:v>
      </x:c>
      <x:c r="T227" s="15" t="n">
        <x:v>-0.043477400347669004</x:v>
      </x:c>
      <x:c r="U227" s="15" t="n">
        <x:v>0.09739469198929429</x:v>
      </x:c>
    </x:row>
    <x:row r="228">
      <x:c r="A228" s="13" t="str">
        <x:v>all_360</x:v>
      </x:c>
      <x:c r="B228" s="36" t="n">
        <x:v>45928.833333333336</x:v>
      </x:c>
      <x:c r="C228" s="36" t="n">
        <x:v>45928.916666666664</x:v>
      </x:c>
      <x:c r="D228" s="15" t="n">
        <x:v>12565.119161</x:v>
      </x:c>
      <x:c r="E228" s="15" t="n">
        <x:v>12475.431204</x:v>
      </x:c>
      <x:c r="F228" s="15" t="n">
        <x:v>25040.550365000003</x:v>
      </x:c>
      <x:c r="G228" s="15" t="n">
        <x:v>89.6879570000001</x:v>
      </x:c>
      <x:c r="H228" s="15" t="n">
        <x:v>120690.215089</x:v>
      </x:c>
      <x:c r="I228" s="15" t="n">
        <x:v>133255.33425</x:v>
      </x:c>
      <x:c r="J228" s="15" t="n">
        <x:v>12828.862443</x:v>
      </x:c>
      <x:c r="K228" s="15" t="n">
        <x:v>11149.311714</x:v>
      </x:c>
      <x:c r="L228" s="15" t="n">
        <x:v>23978.174157</x:v>
      </x:c>
      <x:c r="M228" s="15" t="n">
        <x:v>1679.5507290000005</x:v>
      </x:c>
      <x:c r="N228" s="15" t="n">
        <x:v>0.8511673151750792</x:v>
      </x:c>
      <x:c r="O228" s="15" t="n">
        <x:v>74720.03</x:v>
      </x:c>
      <x:c r="P228" s="15" t="n">
        <x:v>308583.55212</x:v>
      </x:c>
      <x:c r="Q228" s="15" t="n">
        <x:v>1778</x:v>
      </x:c>
      <x:c r="R228" s="15" t="n">
        <x:v>4.602462773534333</x:v>
      </x:c>
      <x:c r="S228" s="15" t="n">
        <x:v>0.0966417008939513</x:v>
      </x:c>
      <x:c r="T228" s="15" t="n">
        <x:v>0.048344210780748575</x:v>
      </x:c>
      <x:c r="U228" s="15" t="n">
        <x:v>0.14489253803429136</x:v>
      </x:c>
    </x:row>
    <x:row r="229">
      <x:c r="A229" s="13" t="str">
        <x:v>all_360</x:v>
      </x:c>
      <x:c r="B229" s="36" t="n">
        <x:v>45928.916666666664</x:v>
      </x:c>
      <x:c r="C229" s="36" t="n">
        <x:v>45929</x:v>
      </x:c>
      <x:c r="D229" s="15" t="n">
        <x:v>59127.305819</x:v>
      </x:c>
      <x:c r="E229" s="15" t="n">
        <x:v>56267.072653</x:v>
      </x:c>
      <x:c r="F229" s="15" t="n">
        <x:v>115394.37847200001</x:v>
      </x:c>
      <x:c r="G229" s="15" t="n">
        <x:v>2860.233165999998</x:v>
      </x:c>
      <x:c r="H229" s="15" t="n">
        <x:v>260611.710177</x:v>
      </x:c>
      <x:c r="I229" s="15" t="n">
        <x:v>319739.01599600003</x:v>
      </x:c>
      <x:c r="J229" s="15" t="n">
        <x:v>13351.943259</x:v>
      </x:c>
      <x:c r="K229" s="15" t="n">
        <x:v>2147.8812239999997</x:v>
      </x:c>
      <x:c r="L229" s="15" t="n">
        <x:v>15499.824483</x:v>
      </x:c>
      <x:c r="M229" s="15" t="n">
        <x:v>11204.062034999999</x:v>
      </x:c>
      <x:c r="N229" s="15" t="n">
        <x:v>1.3798111837327616</x:v>
      </x:c>
      <x:c r="O229" s="15" t="n">
        <x:v>152461.28</x:v>
      </x:c>
      <x:c r="P229" s="15" t="n">
        <x:v>636017.8054</x:v>
      </x:c>
      <x:c r="Q229" s="15" t="n">
        <x:v>3461</x:v>
      </x:c>
      <x:c r="R229" s="15" t="n">
        <x:v>6.544559190259669</x:v>
      </x:c>
      <x:c r="S229" s="15" t="n">
        <x:v>0.16738402678145858</x:v>
      </x:c>
      <x:c r="T229" s="15" t="n">
        <x:v>0</x:v>
      </x:c>
      <x:c r="U229" s="15" t="n">
        <x:v>0.16774502755810827</x:v>
      </x:c>
    </x:row>
    <x:row r="230">
      <x:c r="A230" s="13" t="str">
        <x:v>all_360</x:v>
      </x:c>
      <x:c r="B230" s="36" t="n">
        <x:v>45929</x:v>
      </x:c>
      <x:c r="C230" s="36" t="n">
        <x:v>45929.083333333336</x:v>
      </x:c>
      <x:c r="D230" s="15" t="n">
        <x:v>31092.961014999997</x:v>
      </x:c>
      <x:c r="E230" s="15" t="n">
        <x:v>32540.174080999997</x:v>
      </x:c>
      <x:c r="F230" s="15" t="n">
        <x:v>63633.135096</x:v>
      </x:c>
      <x:c r="G230" s="15" t="n">
        <x:v>-1447.2130660000003</x:v>
      </x:c>
      <x:c r="H230" s="15" t="n">
        <x:v>76923.625845</x:v>
      </x:c>
      <x:c r="I230" s="15" t="n">
        <x:v>108016.58686</x:v>
      </x:c>
      <x:c r="J230" s="15" t="n">
        <x:v>4525.827386</x:v>
      </x:c>
      <x:c r="K230" s="15" t="n">
        <x:v>4228.282776</x:v>
      </x:c>
      <x:c r="L230" s="15" t="n">
        <x:v>8754.110162</x:v>
      </x:c>
      <x:c r="M230" s="15" t="n">
        <x:v>297.5446099999999</x:v>
      </x:c>
      <x:c r="N230" s="15" t="n">
        <x:v>0.9801577814965424</x:v>
      </x:c>
      <x:c r="O230" s="15" t="n">
        <x:v>94203.78</x:v>
      </x:c>
      <x:c r="P230" s="15" t="n">
        <x:v>392725.05707</x:v>
      </x:c>
      <x:c r="Q230" s="15" t="n">
        <x:v>1534</x:v>
      </x:c>
      <x:c r="R230" s="15" t="n">
        <x:v>4.609077653953775</x:v>
      </x:c>
      <x:c r="S230" s="15" t="n">
        <x:v>0.16750418760470565</x:v>
      </x:c>
      <x:c r="T230" s="15" t="n">
        <x:v>-0.024050024050015217</x:v>
      </x:c>
      <x:c r="U230" s="15" t="n">
        <x:v>0.1681883709754861</x:v>
      </x:c>
    </x:row>
    <x:row r="231">
      <x:c r="A231" s="13" t="str">
        <x:v>all_360</x:v>
      </x:c>
      <x:c r="B231" s="36" t="n">
        <x:v>45929.083333333336</x:v>
      </x:c>
      <x:c r="C231" s="36" t="n">
        <x:v>45929.166666666664</x:v>
      </x:c>
      <x:c r="D231" s="15" t="n">
        <x:v>34690.8806</x:v>
      </x:c>
      <x:c r="E231" s="15" t="n">
        <x:v>33778.876551</x:v>
      </x:c>
      <x:c r="F231" s="15" t="n">
        <x:v>68469.757151</x:v>
      </x:c>
      <x:c r="G231" s="15" t="n">
        <x:v>912.0040489999956</x:v>
      </x:c>
      <x:c r="H231" s="15" t="n">
        <x:v>108174.38591</x:v>
      </x:c>
      <x:c r="I231" s="15" t="n">
        <x:v>142865.26651</x:v>
      </x:c>
      <x:c r="J231" s="15" t="n">
        <x:v>92115.109644</x:v>
      </x:c>
      <x:c r="K231" s="15" t="n">
        <x:v>94323.373741</x:v>
      </x:c>
      <x:c r="L231" s="15" t="n">
        <x:v>186438.483385</x:v>
      </x:c>
      <x:c r="M231" s="15" t="n">
        <x:v>-2208.2640970000066</x:v>
      </x:c>
      <x:c r="N231" s="15" t="n">
        <x:v>0.6271104679208829</x:v>
      </x:c>
      <x:c r="O231" s="15" t="n">
        <x:v>59644.34</x:v>
      </x:c>
      <x:c r="P231" s="15" t="n">
        <x:v>247430.37092000002</x:v>
      </x:c>
      <x:c r="Q231" s="15" t="n">
        <x:v>1380</x:v>
      </x:c>
      <x:c r="R231" s="15" t="n">
        <x:v>4.241869900747863</x:v>
      </x:c>
      <x:c r="S231" s="15" t="n">
        <x:v>0.14430014430014682</x:v>
      </x:c>
      <x:c r="T231" s="15" t="n">
        <x:v>0.02413709872072234</x:v>
      </x:c>
      <x:c r="U231" s="15" t="n">
        <x:v>0.09647853352627855</x:v>
      </x:c>
    </x:row>
    <x:row r="232">
      <x:c r="A232" s="13" t="str">
        <x:v>all_360</x:v>
      </x:c>
      <x:c r="B232" s="36" t="n">
        <x:v>45929.166666666664</x:v>
      </x:c>
      <x:c r="C232" s="36" t="n">
        <x:v>45929.25</x:v>
      </x:c>
      <x:c r="D232" s="15" t="n">
        <x:v>13057.748497</x:v>
      </x:c>
      <x:c r="E232" s="15" t="n">
        <x:v>13374.245534</x:v>
      </x:c>
      <x:c r="F232" s="15" t="n">
        <x:v>26431.994031000002</x:v>
      </x:c>
      <x:c r="G232" s="15" t="n">
        <x:v>-316.4970369999992</x:v>
      </x:c>
      <x:c r="H232" s="15" t="n">
        <x:v>38371.697921</x:v>
      </x:c>
      <x:c r="I232" s="15" t="n">
        <x:v>51429.446418</x:v>
      </x:c>
      <x:c r="J232" s="15" t="n">
        <x:v>2136.425456</x:v>
      </x:c>
      <x:c r="K232" s="15" t="n">
        <x:v>11483.000876</x:v>
      </x:c>
      <x:c r="L232" s="15" t="n">
        <x:v>13619.426332</x:v>
      </x:c>
      <x:c r="M232" s="15" t="n">
        <x:v>-9346.575420000001</x:v>
      </x:c>
      <x:c r="N232" s="15" t="n">
        <x:v>0.9397590361445924</x:v>
      </x:c>
      <x:c r="O232" s="15" t="n">
        <x:v>43271.78</x:v>
      </x:c>
      <x:c r="P232" s="15" t="n">
        <x:v>178608.14905</x:v>
      </x:c>
      <x:c r="Q232" s="15" t="n">
        <x:v>1450</x:v>
      </x:c>
      <x:c r="R232" s="15" t="n">
        <x:v>3.973007022591979</x:v>
      </x:c>
      <x:c r="S232" s="15" t="n">
        <x:v>0.09715812484818453</x:v>
      </x:c>
      <x:c r="T232" s="15" t="n">
        <x:v>-0.019693164889322823</x:v>
      </x:c>
      <x:c r="U232" s="15" t="n">
        <x:v>0.12141816415736084</x:v>
      </x:c>
    </x:row>
    <x:row r="233">
      <x:c r="A233" s="13" t="str">
        <x:v>all_360</x:v>
      </x:c>
      <x:c r="B233" s="36" t="n">
        <x:v>45929.25</x:v>
      </x:c>
      <x:c r="C233" s="36" t="n">
        <x:v>45929.333333333336</x:v>
      </x:c>
      <x:c r="D233" s="15" t="n">
        <x:v>24087.323626</x:v>
      </x:c>
      <x:c r="E233" s="15" t="n">
        <x:v>19883.423780999998</x:v>
      </x:c>
      <x:c r="F233" s="15" t="n">
        <x:v>43970.747407</x:v>
      </x:c>
      <x:c r="G233" s="15" t="n">
        <x:v>4203.899845000004</x:v>
      </x:c>
      <x:c r="H233" s="15" t="n">
        <x:v>71351.876085</x:v>
      </x:c>
      <x:c r="I233" s="15" t="n">
        <x:v>95439.199711</x:v>
      </x:c>
      <x:c r="J233" s="15" t="n">
        <x:v>4581.792494</x:v>
      </x:c>
      <x:c r="K233" s="15" t="n">
        <x:v>4644.966384</x:v>
      </x:c>
      <x:c r="L233" s="15" t="n">
        <x:v>9226.758878</x:v>
      </x:c>
      <x:c r="M233" s="15" t="n">
        <x:v>-63.17389000000003</x:v>
      </x:c>
      <x:c r="N233" s="15" t="n">
        <x:v>0.7990314769975659</x:v>
      </x:c>
      <x:c r="O233" s="15" t="n">
        <x:v>60537.58</x:v>
      </x:c>
      <x:c r="P233" s="15" t="n">
        <x:v>249387.40781</x:v>
      </x:c>
      <x:c r="Q233" s="15" t="n">
        <x:v>1831</x:v>
      </x:c>
      <x:c r="R233" s="15" t="n">
        <x:v>5.240271543898767</x:v>
      </x:c>
      <x:c r="S233" s="15" t="n">
        <x:v>0.09732360097324255</x:v>
      </x:c>
      <x:c r="T233" s="15" t="n">
        <x:v>-0.024271844660206376</x:v>
      </x:c>
      <x:c r="U233" s="15" t="n">
        <x:v>0.16965584100825382</x:v>
      </x:c>
    </x:row>
    <x:row r="234">
      <x:c r="A234" s="13" t="str">
        <x:v>all_360</x:v>
      </x:c>
      <x:c r="B234" s="36" t="n">
        <x:v>45929.333333333336</x:v>
      </x:c>
      <x:c r="C234" s="36" t="n">
        <x:v>45929.416666666664</x:v>
      </x:c>
      <x:c r="D234" s="15" t="n">
        <x:v>21809.518713</x:v>
      </x:c>
      <x:c r="E234" s="15" t="n">
        <x:v>23808.485191</x:v>
      </x:c>
      <x:c r="F234" s="15" t="n">
        <x:v>45618.003904</x:v>
      </x:c>
      <x:c r="G234" s="15" t="n">
        <x:v>-1998.9664779999985</x:v>
      </x:c>
      <x:c r="H234" s="15" t="n">
        <x:v>266721.656776</x:v>
      </x:c>
      <x:c r="I234" s="15" t="n">
        <x:v>288531.175489</x:v>
      </x:c>
      <x:c r="J234" s="15" t="n">
        <x:v>13013.643237</x:v>
      </x:c>
      <x:c r="K234" s="15" t="n">
        <x:v>16213.167335</x:v>
      </x:c>
      <x:c r="L234" s="15" t="n">
        <x:v>29226.810572000002</x:v>
      </x:c>
      <x:c r="M234" s="15" t="n">
        <x:v>-3199.524098</x:v>
      </x:c>
      <x:c r="N234" s="15" t="n">
        <x:v>0.994180407371493</x:v>
      </x:c>
      <x:c r="O234" s="15" t="n">
        <x:v>87024.99</x:v>
      </x:c>
      <x:c r="P234" s="15" t="n">
        <x:v>360369.44915</x:v>
      </x:c>
      <x:c r="Q234" s="15" t="n">
        <x:v>2207</x:v>
      </x:c>
      <x:c r="R234" s="15" t="n">
        <x:v>4.8322788455321675</x:v>
      </x:c>
      <x:c r="S234" s="15" t="n">
        <x:v>0.1202501202501427</x:v>
      </x:c>
      <x:c r="T234" s="15" t="n">
        <x:v>0</x:v>
      </x:c>
      <x:c r="U234" s="15" t="n">
        <x:v>0.14436958614050255</x:v>
      </x:c>
    </x:row>
    <x:row r="235">
      <x:c r="A235" s="13" t="str">
        <x:v>all_360</x:v>
      </x:c>
      <x:c r="B235" s="36" t="n">
        <x:v>45929.416666666664</x:v>
      </x:c>
      <x:c r="C235" s="36" t="n">
        <x:v>45929.5</x:v>
      </x:c>
      <x:c r="D235" s="15" t="n">
        <x:v>67549.97712</x:v>
      </x:c>
      <x:c r="E235" s="15" t="n">
        <x:v>66322.412081</x:v>
      </x:c>
      <x:c r="F235" s="15" t="n">
        <x:v>133872.38920099998</x:v>
      </x:c>
      <x:c r="G235" s="15" t="n">
        <x:v>1227.5650389999937</x:v>
      </x:c>
      <x:c r="H235" s="15" t="n">
        <x:v>198930.247851</x:v>
      </x:c>
      <x:c r="I235" s="15" t="n">
        <x:v>266480.224971</x:v>
      </x:c>
      <x:c r="J235" s="15" t="n">
        <x:v>43551.923021</x:v>
      </x:c>
      <x:c r="K235" s="15" t="n">
        <x:v>27153.982733</x:v>
      </x:c>
      <x:c r="L235" s="15" t="n">
        <x:v>70705.905754</x:v>
      </x:c>
      <x:c r="M235" s="15" t="n">
        <x:v>16397.940288</x:v>
      </x:c>
      <x:c r="N235" s="15" t="n">
        <x:v>1.3784764207980746</x:v>
      </x:c>
      <x:c r="O235" s="15" t="n">
        <x:v>130783.2</x:v>
      </x:c>
      <x:c r="P235" s="15" t="n">
        <x:v>537249.04576</x:v>
      </x:c>
      <x:c r="Q235" s="15" t="n">
        <x:v>2482</x:v>
      </x:c>
      <x:c r="R235" s="15" t="n">
        <x:v>5.10343414731973</x:v>
      </x:c>
      <x:c r="S235" s="15" t="n">
        <x:v>0.12186205215695134</x:v>
      </x:c>
      <x:c r="T235" s="15" t="n">
        <x:v>0.05758350115787625</x:v>
      </x:c>
      <x:c r="U235" s="15" t="n">
        <x:v>0.1703992210321248</x:v>
      </x:c>
    </x:row>
    <x:row r="236">
      <x:c r="A236" s="13" t="str">
        <x:v>all_360</x:v>
      </x:c>
      <x:c r="B236" s="36" t="n">
        <x:v>45929.5</x:v>
      </x:c>
      <x:c r="C236" s="36" t="n">
        <x:v>45929.583333333336</x:v>
      </x:c>
      <x:c r="D236" s="15" t="n">
        <x:v>46777.259005</x:v>
      </x:c>
      <x:c r="E236" s="15" t="n">
        <x:v>46560.556898</x:v>
      </x:c>
      <x:c r="F236" s="15" t="n">
        <x:v>93337.81590300001</x:v>
      </x:c>
      <x:c r="G236" s="15" t="n">
        <x:v>216.70210699999734</x:v>
      </x:c>
      <x:c r="H236" s="15" t="n">
        <x:v>387209.36513</x:v>
      </x:c>
      <x:c r="I236" s="15" t="n">
        <x:v>433986.624135</x:v>
      </x:c>
      <x:c r="J236" s="15" t="n">
        <x:v>24711.898584</x:v>
      </x:c>
      <x:c r="K236" s="15" t="n">
        <x:v>35087.249587</x:v>
      </x:c>
      <x:c r="L236" s="15" t="n">
        <x:v>59799.14817099999</x:v>
      </x:c>
      <x:c r="M236" s="15" t="n">
        <x:v>-10375.351003</x:v>
      </x:c>
      <x:c r="N236" s="15" t="n">
        <x:v>2.3391812865497097</x:v>
      </x:c>
      <x:c r="O236" s="15" t="n">
        <x:v>330651.9</x:v>
      </x:c>
      <x:c r="P236" s="15" t="n">
        <x:v>1339334.39262</x:v>
      </x:c>
      <x:c r="Q236" s="15" t="n">
        <x:v>6923</x:v>
      </x:c>
      <x:c r="R236" s="15" t="n">
        <x:v>9.096950585380647</x:v>
      </x:c>
      <x:c r="S236" s="15" t="n">
        <x:v>0.24709661477637646</x:v>
      </x:c>
      <x:c r="T236" s="15" t="n">
        <x:v>-0.024431956999770854</x:v>
      </x:c>
      <x:c r="U236" s="15" t="n">
        <x:v>0.14892032762472418</x:v>
      </x:c>
    </x:row>
    <x:row r="237">
      <x:c r="A237" s="13" t="str">
        <x:v>all_360</x:v>
      </x:c>
      <x:c r="B237" s="36" t="n">
        <x:v>45929.583333333336</x:v>
      </x:c>
      <x:c r="C237" s="36" t="n">
        <x:v>45929.666666666664</x:v>
      </x:c>
      <x:c r="D237" s="15" t="n">
        <x:v>58258.30216</x:v>
      </x:c>
      <x:c r="E237" s="15" t="n">
        <x:v>58256.786296</x:v>
      </x:c>
      <x:c r="F237" s="15" t="n">
        <x:v>116515.088456</x:v>
      </x:c>
      <x:c r="G237" s="15" t="n">
        <x:v>1.5158640000008745</x:v>
      </x:c>
      <x:c r="H237" s="15" t="n">
        <x:v>249273.460371</x:v>
      </x:c>
      <x:c r="I237" s="15" t="n">
        <x:v>307531.762531</x:v>
      </x:c>
      <x:c r="J237" s="15" t="n">
        <x:v>38924.520697</x:v>
      </x:c>
      <x:c r="K237" s="15" t="n">
        <x:v>8606.889688</x:v>
      </x:c>
      <x:c r="L237" s="15" t="n">
        <x:v>47531.410384999996</x:v>
      </x:c>
      <x:c r="M237" s="15" t="n">
        <x:v>30317.631009</x:v>
      </x:c>
      <x:c r="N237" s="15" t="n">
        <x:v>1.5958752762091917</x:v>
      </x:c>
      <x:c r="O237" s="15" t="n">
        <x:v>211274.12</x:v>
      </x:c>
      <x:c r="P237" s="15" t="n">
        <x:v>867204.22281</x:v>
      </x:c>
      <x:c r="Q237" s="15" t="n">
        <x:v>4597</x:v>
      </x:c>
      <x:c r="R237" s="15" t="n">
        <x:v>8.850909088908754</x:v>
      </x:c>
      <x:c r="S237" s="15" t="n">
        <x:v>0.19488428745432218</x:v>
      </x:c>
      <x:c r="T237" s="15" t="n">
        <x:v>0</x:v>
      </x:c>
      <x:c r="U237" s="15" t="n">
        <x:v>0.2187651920272149</x:v>
      </x:c>
    </x:row>
    <x:row r="238">
      <x:c r="A238" s="13" t="str">
        <x:v>all_360</x:v>
      </x:c>
      <x:c r="B238" s="36" t="n">
        <x:v>45929.666666666664</x:v>
      </x:c>
      <x:c r="C238" s="36" t="n">
        <x:v>45929.75</x:v>
      </x:c>
      <x:c r="D238" s="15" t="n">
        <x:v>55458.525345</x:v>
      </x:c>
      <x:c r="E238" s="15" t="n">
        <x:v>59433.259502</x:v>
      </x:c>
      <x:c r="F238" s="15" t="n">
        <x:v>114891.784847</x:v>
      </x:c>
      <x:c r="G238" s="15" t="n">
        <x:v>-3974.734156999999</x:v>
      </x:c>
      <x:c r="H238" s="15" t="n">
        <x:v>159398.917291</x:v>
      </x:c>
      <x:c r="I238" s="15" t="n">
        <x:v>214857.442636</x:v>
      </x:c>
      <x:c r="J238" s="15" t="n">
        <x:v>105103.636021</x:v>
      </x:c>
      <x:c r="K238" s="15" t="n">
        <x:v>10260.653647</x:v>
      </x:c>
      <x:c r="L238" s="15" t="n">
        <x:v>115364.289668</x:v>
      </x:c>
      <x:c r="M238" s="15" t="n">
        <x:v>94842.982374</x:v>
      </x:c>
      <x:c r="N238" s="15" t="n">
        <x:v>1.588077204984107</x:v>
      </x:c>
      <x:c r="O238" s="15" t="n">
        <x:v>200475.85</x:v>
      </x:c>
      <x:c r="P238" s="15" t="n">
        <x:v>818220.05863</x:v>
      </x:c>
      <x:c r="Q238" s="15" t="n">
        <x:v>3970</x:v>
      </x:c>
      <x:c r="R238" s="15" t="n">
        <x:v>7.231876435016904</x:v>
      </x:c>
      <x:c r="S238" s="15" t="n">
        <x:v>0.147492625368717</x:v>
      </x:c>
      <x:c r="T238" s="15" t="n">
        <x:v>0</x:v>
      </x:c>
      <x:c r="U238" s="15" t="n">
        <x:v>0.14760147601476925</x:v>
      </x:c>
    </x:row>
    <x:row r="239">
      <x:c r="A239" s="13" t="str">
        <x:v>all_360</x:v>
      </x:c>
      <x:c r="B239" s="36" t="n">
        <x:v>45929.75</x:v>
      </x:c>
      <x:c r="C239" s="36" t="n">
        <x:v>45929.833333333336</x:v>
      </x:c>
      <x:c r="D239" s="15" t="n">
        <x:v>60054.912381</x:v>
      </x:c>
      <x:c r="E239" s="15" t="n">
        <x:v>59474.346156</x:v>
      </x:c>
      <x:c r="F239" s="15" t="n">
        <x:v>119529.258537</x:v>
      </x:c>
      <x:c r="G239" s="15" t="n">
        <x:v>580.5662250000023</x:v>
      </x:c>
      <x:c r="H239" s="15" t="n">
        <x:v>106639.621075</x:v>
      </x:c>
      <x:c r="I239" s="15" t="n">
        <x:v>166694.533456</x:v>
      </x:c>
      <x:c r="J239" s="15" t="n">
        <x:v>34825.469431</x:v>
      </x:c>
      <x:c r="K239" s="15" t="n">
        <x:v>83943.540469</x:v>
      </x:c>
      <x:c r="L239" s="15" t="n">
        <x:v>118769.0099</x:v>
      </x:c>
      <x:c r="M239" s="15" t="n">
        <x:v>-49118.071038</x:v>
      </x:c>
      <x:c r="N239" s="15" t="n">
        <x:v>1.1744555908979704</x:v>
      </x:c>
      <x:c r="O239" s="15" t="n">
        <x:v>130963.95</x:v>
      </x:c>
      <x:c r="P239" s="15" t="n">
        <x:v>536418.05081</x:v>
      </x:c>
      <x:c r="Q239" s="15" t="n">
        <x:v>2677</x:v>
      </x:c>
      <x:c r="R239" s="15" t="n">
        <x:v>6.033859016289034</x:v>
      </x:c>
      <x:c r="S239" s="15" t="n">
        <x:v>0.22042615723733006</x:v>
      </x:c>
      <x:c r="T239" s="15" t="n">
        <x:v>0.02392607557459847</x:v>
      </x:c>
      <x:c r="U239" s="15" t="n">
        <x:v>0.1704822211397894</x:v>
      </x:c>
    </x:row>
    <x:row r="240">
      <x:c r="A240" s="13" t="str">
        <x:v>all_360</x:v>
      </x:c>
      <x:c r="B240" s="36" t="n">
        <x:v>45929.833333333336</x:v>
      </x:c>
      <x:c r="C240" s="36" t="n">
        <x:v>45929.916666666664</x:v>
      </x:c>
      <x:c r="D240" s="15" t="n">
        <x:v>49222.569795</x:v>
      </x:c>
      <x:c r="E240" s="15" t="n">
        <x:v>50069.934486</x:v>
      </x:c>
      <x:c r="F240" s="15" t="n">
        <x:v>99292.504281</x:v>
      </x:c>
      <x:c r="G240" s="15" t="n">
        <x:v>-847.3646909999952</x:v>
      </x:c>
      <x:c r="H240" s="15" t="n">
        <x:v>124854.846036</x:v>
      </x:c>
      <x:c r="I240" s="15" t="n">
        <x:v>174077.41583100002</x:v>
      </x:c>
      <x:c r="J240" s="15" t="n">
        <x:v>32299.893692999998</x:v>
      </x:c>
      <x:c r="K240" s="15" t="n">
        <x:v>16426.906598999998</x:v>
      </x:c>
      <x:c r="L240" s="15" t="n">
        <x:v>48726.800292</x:v>
      </x:c>
      <x:c r="M240" s="15" t="n">
        <x:v>15872.987094</x:v>
      </x:c>
      <x:c r="N240" s="15" t="n">
        <x:v>1.3129102844639013</x:v>
      </x:c>
      <x:c r="O240" s="15" t="n">
        <x:v>108819.16</x:v>
      </x:c>
      <x:c r="P240" s="15" t="n">
        <x:v>451274.84208</x:v>
      </x:c>
      <x:c r="Q240" s="15" t="n">
        <x:v>2641</x:v>
      </x:c>
      <x:c r="R240" s="15" t="n">
        <x:v>4.9201963690441275</x:v>
      </x:c>
      <x:c r="S240" s="15" t="n">
        <x:v>0.16867469879519037</x:v>
      </x:c>
      <x:c r="T240" s="15" t="n">
        <x:v>0.009646922631678656</x:v>
      </x:c>
      <x:c r="U240" s="15" t="n">
        <x:v>0.14416146083614523</x:v>
      </x:c>
    </x:row>
    <x:row r="241">
      <x:c r="A241" s="13" t="str">
        <x:v>all_360</x:v>
      </x:c>
      <x:c r="B241" s="36" t="n">
        <x:v>45929.916666666664</x:v>
      </x:c>
      <x:c r="C241" s="36" t="n">
        <x:v>45930</x:v>
      </x:c>
      <x:c r="D241" s="15" t="n">
        <x:v>30172.950746000002</x:v>
      </x:c>
      <x:c r="E241" s="15" t="n">
        <x:v>32420.270162</x:v>
      </x:c>
      <x:c r="F241" s="15" t="n">
        <x:v>62593.220908</x:v>
      </x:c>
      <x:c r="G241" s="15" t="n">
        <x:v>-2247.3194159999985</x:v>
      </x:c>
      <x:c r="H241" s="15" t="n">
        <x:v>79713.918243</x:v>
      </x:c>
      <x:c r="I241" s="15" t="n">
        <x:v>109886.868989</x:v>
      </x:c>
      <x:c r="J241" s="15" t="n">
        <x:v>3325.708087</x:v>
      </x:c>
      <x:c r="K241" s="15" t="n">
        <x:v>6639.9509180000005</x:v>
      </x:c>
      <x:c r="L241" s="15" t="n">
        <x:v>9965.659005000001</x:v>
      </x:c>
      <x:c r="M241" s="15" t="n">
        <x:v>-3314.2428310000005</x:v>
      </x:c>
      <x:c r="N241" s="15" t="n">
        <x:v>0.7965242577842017</x:v>
      </x:c>
      <x:c r="O241" s="15" t="n">
        <x:v>52903.37</x:v>
      </x:c>
      <x:c r="P241" s="15" t="n">
        <x:v>218144.40162</x:v>
      </x:c>
      <x:c r="Q241" s="15" t="n">
        <x:v>1598</x:v>
      </x:c>
      <x:c r="R241" s="15" t="n">
        <x:v>3.974404398703779</x:v>
      </x:c>
      <x:c r="S241" s="15" t="n">
        <x:v>0.21797045289414507</x:v>
      </x:c>
      <x:c r="T241" s="15" t="n">
        <x:v>0.033276059275244574</x:v>
      </x:c>
      <x:c r="U241" s="15" t="n">
        <x:v>0.1452432824981864</x:v>
      </x:c>
    </x:row>
    <x:row r="242">
      <x:c r="A242" s="13" t="str">
        <x:v>all_360</x:v>
      </x:c>
      <x:c r="B242" s="36" t="n">
        <x:v>45930</x:v>
      </x:c>
      <x:c r="C242" s="36" t="n">
        <x:v>45930.083333333336</x:v>
      </x:c>
      <x:c r="D242" s="15" t="n">
        <x:v>7201.411134</x:v>
      </x:c>
      <x:c r="E242" s="15" t="n">
        <x:v>7518.970233000001</x:v>
      </x:c>
      <x:c r="F242" s="15" t="n">
        <x:v>14720.381367000002</x:v>
      </x:c>
      <x:c r="G242" s="15" t="n">
        <x:v>-317.55909900000097</x:v>
      </x:c>
      <x:c r="H242" s="15" t="n">
        <x:v>81670.735639</x:v>
      </x:c>
      <x:c r="I242" s="15" t="n">
        <x:v>88872.146773</x:v>
      </x:c>
      <x:c r="J242" s="15" t="n">
        <x:v>14844.727959</x:v>
      </x:c>
      <x:c r="K242" s="15" t="n">
        <x:v>16850.629694</x:v>
      </x:c>
      <x:c r="L242" s="15" t="n">
        <x:v>31695.357653</x:v>
      </x:c>
      <x:c r="M242" s="15" t="n">
        <x:v>-2005.9017349999995</x:v>
      </x:c>
      <x:c r="N242" s="15" t="n">
        <x:v>1.6776075857038861</x:v>
      </x:c>
      <x:c r="O242" s="15" t="n">
        <x:v>152088.18</x:v>
      </x:c>
      <x:c r="P242" s="15" t="n">
        <x:v>620565.40174</x:v>
      </x:c>
      <x:c r="Q242" s="15" t="n">
        <x:v>3459</x:v>
      </x:c>
      <x:c r="R242" s="15" t="n">
        <x:v>7.5237212409565934</x:v>
      </x:c>
      <x:c r="S242" s="15" t="n">
        <x:v>0.26848913839394584</x:v>
      </x:c>
      <x:c r="T242" s="15" t="n">
        <x:v>0.05643739850671459</x:v>
      </x:c>
      <x:c r="U242" s="15" t="n">
        <x:v>0.17232890201872575</x:v>
      </x:c>
    </x:row>
    <x:row r="243">
      <x:c r="A243" s="13" t="str">
        <x:v>all_360</x:v>
      </x:c>
      <x:c r="B243" s="36" t="n">
        <x:v>45930.083333333336</x:v>
      </x:c>
      <x:c r="C243" s="36" t="n">
        <x:v>45930.166666666664</x:v>
      </x:c>
      <x:c r="D243" s="15" t="n">
        <x:v>56104.468398000005</x:v>
      </x:c>
      <x:c r="E243" s="15" t="n">
        <x:v>55441.777886</x:v>
      </x:c>
      <x:c r="F243" s="15" t="n">
        <x:v>111546.24628400001</x:v>
      </x:c>
      <x:c r="G243" s="15" t="n">
        <x:v>662.690512000001</x:v>
      </x:c>
      <x:c r="H243" s="15" t="n">
        <x:v>94137.40522100001</x:v>
      </x:c>
      <x:c r="I243" s="15" t="n">
        <x:v>150241.87361900002</x:v>
      </x:c>
      <x:c r="J243" s="15" t="n">
        <x:v>2608.554091</x:v>
      </x:c>
      <x:c r="K243" s="15" t="n">
        <x:v>2544.663647</x:v>
      </x:c>
      <x:c r="L243" s="15" t="n">
        <x:v>5153.217737999999</x:v>
      </x:c>
      <x:c r="M243" s="15" t="n">
        <x:v>63.890444000000116</x:v>
      </x:c>
      <x:c r="N243" s="15" t="n">
        <x:v>0.6646971935007419</x:v>
      </x:c>
      <x:c r="O243" s="15" t="n">
        <x:v>84168.38</x:v>
      </x:c>
      <x:c r="P243" s="15" t="n">
        <x:v>342438.8663</x:v>
      </x:c>
      <x:c r="Q243" s="15" t="n">
        <x:v>2145</x:v>
      </x:c>
      <x:c r="R243" s="15" t="n">
        <x:v>6.16857687744603</x:v>
      </x:c>
      <x:c r="S243" s="15" t="n">
        <x:v>0.26954177897574594</x:v>
      </x:c>
      <x:c r="T243" s="15" t="n">
        <x:v>-0.016817524301293574</x:v>
      </x:c>
      <x:c r="U243" s="15" t="n">
        <x:v>0.19656019656019152</x:v>
      </x:c>
    </x:row>
    <x:row r="244">
      <x:c r="A244" s="13" t="str">
        <x:v>all_360</x:v>
      </x:c>
      <x:c r="B244" s="36" t="n">
        <x:v>45930.166666666664</x:v>
      </x:c>
      <x:c r="C244" s="36" t="n">
        <x:v>45930.25</x:v>
      </x:c>
      <x:c r="D244" s="15" t="n">
        <x:v>38100.2653</x:v>
      </x:c>
      <x:c r="E244" s="15" t="n">
        <x:v>29769.753222</x:v>
      </x:c>
      <x:c r="F244" s="15" t="n">
        <x:v>67870.018522</x:v>
      </x:c>
      <x:c r="G244" s="15" t="n">
        <x:v>8330.512078</x:v>
      </x:c>
      <x:c r="H244" s="15" t="n">
        <x:v>73108.566784</x:v>
      </x:c>
      <x:c r="I244" s="15" t="n">
        <x:v>111208.832084</x:v>
      </x:c>
      <x:c r="J244" s="15" t="n">
        <x:v>7240.229600000001</x:v>
      </x:c>
      <x:c r="K244" s="15" t="n">
        <x:v>13533.249296</x:v>
      </x:c>
      <x:c r="L244" s="15" t="n">
        <x:v>20773.478896</x:v>
      </x:c>
      <x:c r="M244" s="15" t="n">
        <x:v>-6293.019695999999</x:v>
      </x:c>
      <x:c r="N244" s="15" t="n">
        <x:v>0.6635536986974719</x:v>
      </x:c>
      <x:c r="O244" s="15" t="n">
        <x:v>98951.31</x:v>
      </x:c>
      <x:c r="P244" s="15" t="n">
        <x:v>402928.76678</x:v>
      </x:c>
      <x:c r="Q244" s="15" t="n">
        <x:v>2247</x:v>
      </x:c>
      <x:c r="R244" s="15" t="n">
        <x:v>5.3254814725632205</x:v>
      </x:c>
      <x:c r="S244" s="15" t="n">
        <x:v>0.24539877300613355</x:v>
      </x:c>
      <x:c r="T244" s="15" t="n">
        <x:v>0.04926108374383453</x:v>
      </x:c>
      <x:c r="U244" s="15" t="n">
        <x:v>0.171484566389013</x:v>
      </x:c>
    </x:row>
    <x:row r="245">
      <x:c r="A245" s="13" t="str">
        <x:v>all_360</x:v>
      </x:c>
      <x:c r="B245" s="36" t="n">
        <x:v>45930.25</x:v>
      </x:c>
      <x:c r="C245" s="36" t="n">
        <x:v>45930.333333333336</x:v>
      </x:c>
      <x:c r="D245" s="15" t="n">
        <x:v>44692.032228</x:v>
      </x:c>
      <x:c r="E245" s="15" t="n">
        <x:v>50854.228707</x:v>
      </x:c>
      <x:c r="F245" s="15" t="n">
        <x:v>95546.260935</x:v>
      </x:c>
      <x:c r="G245" s="15" t="n">
        <x:v>-6162.196479000006</x:v>
      </x:c>
      <x:c r="H245" s="15" t="n">
        <x:v>122750.430276</x:v>
      </x:c>
      <x:c r="I245" s="15" t="n">
        <x:v>167442.462504</x:v>
      </x:c>
      <x:c r="J245" s="15" t="n">
        <x:v>11486.662199</x:v>
      </x:c>
      <x:c r="K245" s="15" t="n">
        <x:v>6052.1189460000005</x:v>
      </x:c>
      <x:c r="L245" s="15" t="n">
        <x:v>17538.781145</x:v>
      </x:c>
      <x:c r="M245" s="15" t="n">
        <x:v>5434.543253</x:v>
      </x:c>
      <x:c r="N245" s="15" t="n">
        <x:v>0.8586849852796896</x:v>
      </x:c>
      <x:c r="O245" s="15" t="n">
        <x:v>113382.84</x:v>
      </x:c>
      <x:c r="P245" s="15" t="n">
        <x:v>460767.6522</x:v>
      </x:c>
      <x:c r="Q245" s="15" t="n">
        <x:v>2315</x:v>
      </x:c>
      <x:c r="R245" s="15" t="n">
        <x:v>4.575611247187594</x:v>
      </x:c>
      <x:c r="S245" s="15" t="n">
        <x:v>0.1716527709661686</x:v>
      </x:c>
      <x:c r="T245" s="15" t="n">
        <x:v>-0.016642493266916247</x:v>
      </x:c>
      <x:c r="U245" s="15" t="n">
        <x:v>0.12312238364934336</x:v>
      </x:c>
    </x:row>
    <x:row r="246">
      <x:c r="A246" s="13" t="str">
        <x:v>all_360</x:v>
      </x:c>
      <x:c r="B246" s="36" t="n">
        <x:v>45930.333333333336</x:v>
      </x:c>
      <x:c r="C246" s="36" t="n">
        <x:v>45930.416666666664</x:v>
      </x:c>
      <x:c r="D246" s="15" t="n">
        <x:v>26568.975135</x:v>
      </x:c>
      <x:c r="E246" s="15" t="n">
        <x:v>25381.244964</x:v>
      </x:c>
      <x:c r="F246" s="15" t="n">
        <x:v>51950.220099</x:v>
      </x:c>
      <x:c r="G246" s="15" t="n">
        <x:v>1187.7301709999992</x:v>
      </x:c>
      <x:c r="H246" s="15" t="n">
        <x:v>189881.970972</x:v>
      </x:c>
      <x:c r="I246" s="15" t="n">
        <x:v>216450.946107</x:v>
      </x:c>
      <x:c r="J246" s="15" t="n">
        <x:v>25215.098221</x:v>
      </x:c>
      <x:c r="K246" s="15" t="n">
        <x:v>98438.24895600001</x:v>
      </x:c>
      <x:c r="L246" s="15" t="n">
        <x:v>123653.34717700002</x:v>
      </x:c>
      <x:c r="M246" s="15" t="n">
        <x:v>-73223.150735</x:v>
      </x:c>
      <x:c r="N246" s="15" t="n">
        <x:v>1.0105989647522673</x:v>
      </x:c>
      <x:c r="O246" s="15" t="n">
        <x:v>124647.02</x:v>
      </x:c>
      <x:c r="P246" s="15" t="n">
        <x:v>503114.59553</x:v>
      </x:c>
      <x:c r="Q246" s="15" t="n">
        <x:v>2721</x:v>
      </x:c>
      <x:c r="R246" s="15" t="n">
        <x:v>4.827851498786573</x:v>
      </x:c>
      <x:c r="S246" s="15" t="n">
        <x:v>0.19777503090234738</x:v>
      </x:c>
      <x:c r="T246" s="15" t="n">
        <x:v>-0.03489503519062964</x:v>
      </x:c>
      <x:c r="U246" s="15" t="n">
        <x:v>0.12379301807378118</x:v>
      </x:c>
    </x:row>
    <x:row r="247">
      <x:c r="A247" s="13" t="str">
        <x:v>all_360</x:v>
      </x:c>
      <x:c r="B247" s="36" t="n">
        <x:v>45930.416666666664</x:v>
      </x:c>
      <x:c r="C247" s="36" t="n">
        <x:v>45930.5</x:v>
      </x:c>
      <x:c r="D247" s="15" t="n">
        <x:v>53425.704262</x:v>
      </x:c>
      <x:c r="E247" s="15" t="n">
        <x:v>52211.145875</x:v>
      </x:c>
      <x:c r="F247" s="15" t="n">
        <x:v>105636.850137</x:v>
      </x:c>
      <x:c r="G247" s="15" t="n">
        <x:v>1214.5583869999973</x:v>
      </x:c>
      <x:c r="H247" s="15" t="n">
        <x:v>153300.361987</x:v>
      </x:c>
      <x:c r="I247" s="15" t="n">
        <x:v>206726.06624900002</x:v>
      </x:c>
      <x:c r="J247" s="15" t="n">
        <x:v>22062.15078</x:v>
      </x:c>
      <x:c r="K247" s="15" t="n">
        <x:v>82121.630463</x:v>
      </x:c>
      <x:c r="L247" s="15" t="n">
        <x:v>104183.78124299999</x:v>
      </x:c>
      <x:c r="M247" s="15" t="n">
        <x:v>-60059.479683</x:v>
      </x:c>
      <x:c r="N247" s="15" t="n">
        <x:v>1.3184079601990035</x:v>
      </x:c>
      <x:c r="O247" s="15" t="n">
        <x:v>113826.02</x:v>
      </x:c>
      <x:c r="P247" s="15" t="n">
        <x:v>459918.68496</x:v>
      </x:c>
      <x:c r="Q247" s="15" t="n">
        <x:v>2515</x:v>
      </x:c>
      <x:c r="R247" s="15" t="n">
        <x:v>4.751707527445581</x:v>
      </x:c>
      <x:c r="S247" s="15" t="n">
        <x:v>0.1988565746955051</x:v>
      </x:c>
      <x:c r="T247" s="15" t="n">
        <x:v>0.058434576254950965</x:v>
      </x:c>
      <x:c r="U247" s="15" t="n">
        <x:v>0.1988565746955051</x:v>
      </x:c>
    </x:row>
    <x:row r="248">
      <x:c r="A248" s="13" t="str">
        <x:v>all_360</x:v>
      </x:c>
      <x:c r="B248" s="36" t="n">
        <x:v>45930.5</x:v>
      </x:c>
      <x:c r="C248" s="36" t="n">
        <x:v>45930.583333333336</x:v>
      </x:c>
      <x:c r="D248" s="15" t="n">
        <x:v>42021.34027</x:v>
      </x:c>
      <x:c r="E248" s="15" t="n">
        <x:v>38649.048064</x:v>
      </x:c>
      <x:c r="F248" s="15" t="n">
        <x:v>80670.388334</x:v>
      </x:c>
      <x:c r="G248" s="15" t="n">
        <x:v>3372.2922059999983</x:v>
      </x:c>
      <x:c r="H248" s="15" t="n">
        <x:v>80723.850357</x:v>
      </x:c>
      <x:c r="I248" s="15" t="n">
        <x:v>122745.190627</x:v>
      </x:c>
      <x:c r="J248" s="15" t="n">
        <x:v>13417.940048999999</x:v>
      </x:c>
      <x:c r="K248" s="15" t="n">
        <x:v>6460.361989</x:v>
      </x:c>
      <x:c r="L248" s="15" t="n">
        <x:v>19878.302037999998</x:v>
      </x:c>
      <x:c r="M248" s="15" t="n">
        <x:v>6957.578059999999</x:v>
      </x:c>
      <x:c r="N248" s="15" t="n">
        <x:v>0.8853910477127297</x:v>
      </x:c>
      <x:c r="O248" s="15" t="n">
        <x:v>77813.53</x:v>
      </x:c>
      <x:c r="P248" s="15" t="n">
        <x:v>315013.60803</x:v>
      </x:c>
      <x:c r="Q248" s="15" t="n">
        <x:v>2556</x:v>
      </x:c>
      <x:c r="R248" s="15" t="n">
        <x:v>6.251065749046236</x:v>
      </x:c>
      <x:c r="S248" s="15" t="n">
        <x:v>0.17309594460929167</x:v>
      </x:c>
      <x:c r="T248" s="15" t="n">
        <x:v>-0.026759019577915488</x:v>
      </x:c>
      <x:c r="U248" s="15" t="n">
        <x:v>0.14866204162535812</x:v>
      </x:c>
    </x:row>
    <x:row r="249">
      <x:c r="A249" s="13" t="str">
        <x:v>all_360</x:v>
      </x:c>
      <x:c r="B249" s="36" t="n">
        <x:v>45930.583333333336</x:v>
      </x:c>
      <x:c r="C249" s="36" t="n">
        <x:v>45930.666666666664</x:v>
      </x:c>
      <x:c r="D249" s="15" t="n">
        <x:v>38988.052186</x:v>
      </x:c>
      <x:c r="E249" s="15" t="n">
        <x:v>43328.800443</x:v>
      </x:c>
      <x:c r="F249" s="15" t="n">
        <x:v>82316.852629</x:v>
      </x:c>
      <x:c r="G249" s="15" t="n">
        <x:v>-4340.748256999999</x:v>
      </x:c>
      <x:c r="H249" s="15" t="n">
        <x:v>116712.00163299999</x:v>
      </x:c>
      <x:c r="I249" s="15" t="n">
        <x:v>155700.053819</x:v>
      </x:c>
      <x:c r="J249" s="15" t="n">
        <x:v>8266.286902</x:v>
      </x:c>
      <x:c r="K249" s="15" t="n">
        <x:v>10936.196327</x:v>
      </x:c>
      <x:c r="L249" s="15" t="n">
        <x:v>19202.483228999998</x:v>
      </x:c>
      <x:c r="M249" s="15" t="n">
        <x:v>-2669.909425</x:v>
      </x:c>
      <x:c r="N249" s="15" t="n">
        <x:v>1.6831683168316736</x:v>
      </x:c>
      <x:c r="O249" s="15" t="n">
        <x:v>147171.51</x:v>
      </x:c>
      <x:c r="P249" s="15" t="n">
        <x:v>589784.13398</x:v>
      </x:c>
      <x:c r="Q249" s="15" t="n">
        <x:v>4286</x:v>
      </x:c>
      <x:c r="R249" s="15" t="n">
        <x:v>7.874255796105567</x:v>
      </x:c>
      <x:c r="S249" s="15" t="n">
        <x:v>0.2255073916311634</x:v>
      </x:c>
      <x:c r="T249" s="15" t="n">
        <x:v>-0.017178744534263046</x:v>
      </x:c>
      <x:c r="U249" s="15" t="n">
        <x:v>0.17395626242543427</x:v>
      </x:c>
    </x:row>
    <x:row r="250">
      <x:c r="A250" s="13" t="str">
        <x:v>all_360</x:v>
      </x:c>
      <x:c r="B250" s="36" t="n">
        <x:v>45930.666666666664</x:v>
      </x:c>
      <x:c r="C250" s="36" t="n">
        <x:v>45930.75</x:v>
      </x:c>
      <x:c r="D250" s="15" t="n">
        <x:v>22597.187168</x:v>
      </x:c>
      <x:c r="E250" s="15" t="n">
        <x:v>21791.052795</x:v>
      </x:c>
      <x:c r="F250" s="15" t="n">
        <x:v>44388.239963</x:v>
      </x:c>
      <x:c r="G250" s="15" t="n">
        <x:v>806.1343730000008</x:v>
      </x:c>
      <x:c r="H250" s="15" t="n">
        <x:v>94612.178245</x:v>
      </x:c>
      <x:c r="I250" s="15" t="n">
        <x:v>117209.365413</x:v>
      </x:c>
      <x:c r="J250" s="15" t="n">
        <x:v>5893.94562</x:v>
      </x:c>
      <x:c r="K250" s="15" t="n">
        <x:v>2531.663387</x:v>
      </x:c>
      <x:c r="L250" s="15" t="n">
        <x:v>8425.609007000001</x:v>
      </x:c>
      <x:c r="M250" s="15" t="n">
        <x:v>3362.2822330000004</x:v>
      </x:c>
      <x:c r="N250" s="15" t="n">
        <x:v>0.8470353761833644</x:v>
      </x:c>
      <x:c r="O250" s="15" t="n">
        <x:v>69683.54</x:v>
      </x:c>
      <x:c r="P250" s="15" t="n">
        <x:v>279868.17919</x:v>
      </x:c>
      <x:c r="Q250" s="15" t="n">
        <x:v>2073</x:v>
      </x:c>
      <x:c r="R250" s="15" t="n">
        <x:v>5.855524316683014</x:v>
      </x:c>
      <x:c r="S250" s="15" t="n">
        <x:v>0.22354694485841042</x:v>
      </x:c>
      <x:c r="T250" s="15" t="n">
        <x:v>-0.024919013207092</x:v>
      </x:c>
      <x:c r="U250" s="15" t="n">
        <x:v>0.14970059880240472</x:v>
      </x:c>
    </x:row>
    <x:row r="251">
      <x:c r="A251" s="13" t="str">
        <x:v>all_360</x:v>
      </x:c>
      <x:c r="B251" s="36" t="n">
        <x:v>45930.75</x:v>
      </x:c>
      <x:c r="C251" s="36" t="n">
        <x:v>45930.833333333336</x:v>
      </x:c>
      <x:c r="D251" s="15" t="n">
        <x:v>31194.978219</x:v>
      </x:c>
      <x:c r="E251" s="15" t="n">
        <x:v>33048.491692</x:v>
      </x:c>
      <x:c r="F251" s="15" t="n">
        <x:v>64243.46991100001</x:v>
      </x:c>
      <x:c r="G251" s="15" t="n">
        <x:v>-1853.5134730000027</x:v>
      </x:c>
      <x:c r="H251" s="15" t="n">
        <x:v>68410.03455</x:v>
      </x:c>
      <x:c r="I251" s="15" t="n">
        <x:v>99605.012769</x:v>
      </x:c>
      <x:c r="J251" s="15" t="n">
        <x:v>14637.558427</x:v>
      </x:c>
      <x:c r="K251" s="15" t="n">
        <x:v>10499.149827000001</x:v>
      </x:c>
      <x:c r="L251" s="15" t="n">
        <x:v>25136.708254</x:v>
      </x:c>
      <x:c r="M251" s="15" t="n">
        <x:v>4138.408599999999</x:v>
      </x:c>
      <x:c r="N251" s="15" t="n">
        <x:v>1.7696909272183383</x:v>
      </x:c>
      <x:c r="O251" s="15" t="n">
        <x:v>91367.74</x:v>
      </x:c>
      <x:c r="P251" s="15" t="n">
        <x:v>369482.33361</x:v>
      </x:c>
      <x:c r="Q251" s="15" t="n">
        <x:v>2203</x:v>
      </x:c>
      <x:c r="R251" s="15" t="n">
        <x:v>5.623642263148221</x:v>
      </x:c>
      <x:c r="S251" s="15" t="n">
        <x:v>0.19920318725099584</x:v>
      </x:c>
      <x:c r="T251" s="15" t="n">
        <x:v>-0.024813895781616857</x:v>
      </x:c>
      <x:c r="U251" s="15" t="n">
        <x:v>0.14880952380953438</x:v>
      </x:c>
    </x:row>
    <x:row r="252">
      <x:c r="A252" s="13" t="str">
        <x:v>all_360</x:v>
      </x:c>
      <x:c r="B252" s="36" t="n">
        <x:v>45930.833333333336</x:v>
      </x:c>
      <x:c r="C252" s="36" t="n">
        <x:v>45930.916666666664</x:v>
      </x:c>
      <x:c r="D252" s="15" t="n">
        <x:v>64365.986823</x:v>
      </x:c>
      <x:c r="E252" s="15" t="n">
        <x:v>54911.455316</x:v>
      </x:c>
      <x:c r="F252" s="15" t="n">
        <x:v>119277.44213899999</x:v>
      </x:c>
      <x:c r="G252" s="15" t="n">
        <x:v>9454.531507</x:v>
      </x:c>
      <x:c r="H252" s="15" t="n">
        <x:v>692547.954942</x:v>
      </x:c>
      <x:c r="I252" s="15" t="n">
        <x:v>756913.941765</x:v>
      </x:c>
      <x:c r="J252" s="15" t="n">
        <x:v>46544.44657</x:v>
      </x:c>
      <x:c r="K252" s="15" t="n">
        <x:v>14819.251169</x:v>
      </x:c>
      <x:c r="L252" s="15" t="n">
        <x:v>61363.697738999996</x:v>
      </x:c>
      <x:c r="M252" s="15" t="n">
        <x:v>31725.195401</x:v>
      </x:c>
      <x:c r="N252" s="15" t="n">
        <x:v>0.8588957055214758</x:v>
      </x:c>
      <x:c r="O252" s="15" t="n">
        <x:v>164684.31</x:v>
      </x:c>
      <x:c r="P252" s="15" t="n">
        <x:v>672695.91158</x:v>
      </x:c>
      <x:c r="Q252" s="15" t="n">
        <x:v>2587</x:v>
      </x:c>
      <x:c r="R252" s="15" t="n">
        <x:v>5.606015364896844</x:v>
      </x:c>
      <x:c r="S252" s="15" t="n">
        <x:v>0.2682272616435055</x:v>
      </x:c>
      <x:c r="T252" s="15" t="n">
        <x:v>0</x:v>
      </x:c>
      <x:c r="U252" s="15" t="n">
        <x:v>0.14727540500737435</x:v>
      </x:c>
    </x:row>
    <x:row r="253">
      <x:c r="A253" s="13" t="str">
        <x:v>all_360</x:v>
      </x:c>
      <x:c r="B253" s="36" t="n">
        <x:v>45930.916666666664</x:v>
      </x:c>
      <x:c r="C253" s="36" t="n">
        <x:v>45931</x:v>
      </x:c>
      <x:c r="D253" s="15" t="n">
        <x:v>98547.891084</x:v>
      </x:c>
      <x:c r="E253" s="15" t="n">
        <x:v>96758.387606</x:v>
      </x:c>
      <x:c r="F253" s="15" t="n">
        <x:v>195306.27869</x:v>
      </x:c>
      <x:c r="G253" s="15" t="n">
        <x:v>1789.5034779999987</x:v>
      </x:c>
      <x:c r="H253" s="15" t="n">
        <x:v>187641.966438</x:v>
      </x:c>
      <x:c r="I253" s="15" t="n">
        <x:v>286189.857522</x:v>
      </x:c>
      <x:c r="J253" s="15" t="n">
        <x:v>35161.797846</x:v>
      </x:c>
      <x:c r="K253" s="15" t="n">
        <x:v>43152.517869999996</x:v>
      </x:c>
      <x:c r="L253" s="15" t="n">
        <x:v>78314.315716</x:v>
      </x:c>
      <x:c r="M253" s="15" t="n">
        <x:v>-7990.720023999995</x:v>
      </x:c>
      <x:c r="N253" s="15" t="n">
        <x:v>0.61229488121478</x:v>
      </x:c>
      <x:c r="O253" s="15" t="n">
        <x:v>101586.7</x:v>
      </x:c>
      <x:c r="P253" s="15" t="n">
        <x:v>416124.04454</x:v>
      </x:c>
      <x:c r="Q253" s="15" t="n">
        <x:v>2466</x:v>
      </x:c>
      <x:c r="R253" s="15" t="n">
        <x:v>5.714936691713368</x:v>
      </x:c>
      <x:c r="S253" s="15" t="n">
        <x:v>0.21994134897359574</x:v>
      </x:c>
      <x:c r="T253" s="15" t="n">
        <x:v>-0.007362332606164479</x:v>
      </x:c>
      <x:c r="U253" s="15" t="n">
        <x:v>0.12201073694484421</x:v>
      </x:c>
    </x:row>
    <x:row r="254">
      <x:c r="A254" s="13" t="str">
        <x:v>all_360</x:v>
      </x:c>
      <x:c r="B254" s="36" t="n">
        <x:v>45931</x:v>
      </x:c>
      <x:c r="C254" s="36" t="n">
        <x:v>45931.083333333336</x:v>
      </x:c>
      <x:c r="D254" s="15" t="n">
        <x:v>35153.307114</x:v>
      </x:c>
      <x:c r="E254" s="15" t="n">
        <x:v>34286.32144</x:v>
      </x:c>
      <x:c r="F254" s="15" t="n">
        <x:v>69439.628554</x:v>
      </x:c>
      <x:c r="G254" s="15" t="n">
        <x:v>866.9856740000032</x:v>
      </x:c>
      <x:c r="H254" s="15" t="n">
        <x:v>22781.873795</x:v>
      </x:c>
      <x:c r="I254" s="15" t="n">
        <x:v>57935.180909</x:v>
      </x:c>
      <x:c r="J254" s="15" t="n">
        <x:v>8937.709568</x:v>
      </x:c>
      <x:c r="K254" s="15" t="n">
        <x:v>3474.051105</x:v>
      </x:c>
      <x:c r="L254" s="15" t="n">
        <x:v>12411.760673</x:v>
      </x:c>
      <x:c r="M254" s="15" t="n">
        <x:v>5463.658463</x:v>
      </x:c>
      <x:c r="N254" s="15" t="n">
        <x:v>1.1460619361131361</x:v>
      </x:c>
      <x:c r="O254" s="15" t="n">
        <x:v>91628.07</x:v>
      </x:c>
      <x:c r="P254" s="15" t="n">
        <x:v>376348.7645</x:v>
      </x:c>
      <x:c r="Q254" s="15" t="n">
        <x:v>2188</x:v>
      </x:c>
      <x:c r="R254" s="15" t="n">
        <x:v>6.165053466469583</x:v>
      </x:c>
      <x:c r="S254" s="15" t="n">
        <x:v>0.2443195699975531</x:v>
      </x:c>
      <x:c r="T254" s="15" t="n">
        <x:v>-0.013365776468710067</x:v>
      </x:c>
      <x:c r="U254" s="15" t="n">
        <x:v>0.12156576708001188</x:v>
      </x:c>
    </x:row>
    <x:row r="255">
      <x:c r="A255" s="13" t="str">
        <x:v>all_360</x:v>
      </x:c>
      <x:c r="B255" s="36" t="n">
        <x:v>45931.083333333336</x:v>
      </x:c>
      <x:c r="C255" s="36" t="n">
        <x:v>45931.166666666664</x:v>
      </x:c>
      <x:c r="D255" s="15" t="n">
        <x:v>9791.959793</x:v>
      </x:c>
      <x:c r="E255" s="15" t="n">
        <x:v>10702.485969</x:v>
      </x:c>
      <x:c r="F255" s="15" t="n">
        <x:v>20494.445762</x:v>
      </x:c>
      <x:c r="G255" s="15" t="n">
        <x:v>-910.5261759999994</x:v>
      </x:c>
      <x:c r="H255" s="15" t="n">
        <x:v>18411.377341</x:v>
      </x:c>
      <x:c r="I255" s="15" t="n">
        <x:v>28203.337134</x:v>
      </x:c>
      <x:c r="J255" s="15" t="n">
        <x:v>5064.305085999999</x:v>
      </x:c>
      <x:c r="K255" s="15" t="n">
        <x:v>4023.840924</x:v>
      </x:c>
      <x:c r="L255" s="15" t="n">
        <x:v>9088.14601</x:v>
      </x:c>
      <x:c r="M255" s="15" t="n">
        <x:v>1040.4641619999993</x:v>
      </x:c>
      <x:c r="N255" s="15" t="n">
        <x:v>1.2842258299006526</x:v>
      </x:c>
      <x:c r="O255" s="15" t="n">
        <x:v>137306.98</x:v>
      </x:c>
      <x:c r="P255" s="15" t="n">
        <x:v>564806.57385</x:v>
      </x:c>
      <x:c r="Q255" s="15" t="n">
        <x:v>2201</x:v>
      </x:c>
      <x:c r="R255" s="15" t="n">
        <x:v>4.962415340985515</x:v>
      </x:c>
      <x:c r="S255" s="15" t="n">
        <x:v>0.14677103718200302</x:v>
      </x:c>
      <x:c r="T255" s="15" t="n">
        <x:v>0.04866180048663793</x:v>
      </x:c>
      <x:c r="U255" s="15" t="n">
        <x:v>0.14598540145985828</x:v>
      </x:c>
    </x:row>
    <x:row r="256">
      <x:c r="A256" s="13" t="str">
        <x:v>all_360</x:v>
      </x:c>
      <x:c r="B256" s="36" t="n">
        <x:v>45931.166666666664</x:v>
      </x:c>
      <x:c r="C256" s="36" t="n">
        <x:v>45931.25</x:v>
      </x:c>
      <x:c r="D256" s="15" t="n">
        <x:v>16818.032164</x:v>
      </x:c>
      <x:c r="E256" s="15" t="n">
        <x:v>16340.30786</x:v>
      </x:c>
      <x:c r="F256" s="15" t="n">
        <x:v>33158.340024000005</x:v>
      </x:c>
      <x:c r="G256" s="15" t="n">
        <x:v>477.7243039999994</x:v>
      </x:c>
      <x:c r="H256" s="15" t="n">
        <x:v>43794.338392</x:v>
      </x:c>
      <x:c r="I256" s="15" t="n">
        <x:v>60612.370555999994</x:v>
      </x:c>
      <x:c r="J256" s="15" t="n">
        <x:v>14348.750361999999</x:v>
      </x:c>
      <x:c r="K256" s="15" t="n">
        <x:v>58244.953915</x:v>
      </x:c>
      <x:c r="L256" s="15" t="n">
        <x:v>72593.704277</x:v>
      </x:c>
      <x:c r="M256" s="15" t="n">
        <x:v>-43896.203553</x:v>
      </x:c>
      <x:c r="N256" s="15" t="n">
        <x:v>1.249693702523895</x:v>
      </x:c>
      <x:c r="O256" s="15" t="n">
        <x:v>61186.83</x:v>
      </x:c>
      <x:c r="P256" s="15" t="n">
        <x:v>251502.06905</x:v>
      </x:c>
      <x:c r="Q256" s="15" t="n">
        <x:v>2061</x:v>
      </x:c>
      <x:c r="R256" s="15" t="n">
        <x:v>6.420041447744862</x:v>
      </x:c>
      <x:c r="S256" s="15" t="n">
        <x:v>0.19422189851905358</x:v>
      </x:c>
      <x:c r="T256" s="15" t="n">
        <x:v>0</x:v>
      </x:c>
      <x:c r="U256" s="15" t="n">
        <x:v>0.14559572919194963</x:v>
      </x:c>
    </x:row>
    <x:row r="257">
      <x:c r="A257" s="13" t="str">
        <x:v>all_360</x:v>
      </x:c>
      <x:c r="B257" s="36" t="n">
        <x:v>45931.25</x:v>
      </x:c>
      <x:c r="C257" s="36" t="n">
        <x:v>45931.333333333336</x:v>
      </x:c>
      <x:c r="D257" s="15" t="n">
        <x:v>30378.804424</x:v>
      </x:c>
      <x:c r="E257" s="15" t="n">
        <x:v>29964.285472</x:v>
      </x:c>
      <x:c r="F257" s="15" t="n">
        <x:v>60343.089896000005</x:v>
      </x:c>
      <x:c r="G257" s="15" t="n">
        <x:v>414.5189520000022</x:v>
      </x:c>
      <x:c r="H257" s="15" t="n">
        <x:v>123682.993887</x:v>
      </x:c>
      <x:c r="I257" s="15" t="n">
        <x:v>154061.798311</x:v>
      </x:c>
      <x:c r="J257" s="15" t="n">
        <x:v>20898.432025</x:v>
      </x:c>
      <x:c r="K257" s="15" t="n">
        <x:v>245665.59834</x:v>
      </x:c>
      <x:c r="L257" s="15" t="n">
        <x:v>266564.030365</x:v>
      </x:c>
      <x:c r="M257" s="15" t="n">
        <x:v>-224767.166315</x:v>
      </x:c>
      <x:c r="N257" s="15" t="n">
        <x:v>0.7292173067574198</x:v>
      </x:c>
      <x:c r="O257" s="15" t="n">
        <x:v>64336.31</x:v>
      </x:c>
      <x:c r="P257" s="15" t="n">
        <x:v>264068.21847</x:v>
      </x:c>
      <x:c r="Q257" s="15" t="n">
        <x:v>1873</x:v>
      </x:c>
      <x:c r="R257" s="15" t="n">
        <x:v>4.358735682132364</x:v>
      </x:c>
      <x:c r="S257" s="15" t="n">
        <x:v>0.16990291262135582</x:v>
      </x:c>
      <x:c r="T257" s="15" t="n">
        <x:v>-0.02099780991411393</x:v>
      </x:c>
      <x:c r="U257" s="15" t="n">
        <x:v>0.12144765606023622</x:v>
      </x:c>
    </x:row>
    <x:row r="258">
      <x:c r="A258" s="13" t="str">
        <x:v>all_360</x:v>
      </x:c>
      <x:c r="B258" s="36" t="n">
        <x:v>45931.333333333336</x:v>
      </x:c>
      <x:c r="C258" s="36" t="n">
        <x:v>45931.416666666664</x:v>
      </x:c>
      <x:c r="D258" s="15" t="n">
        <x:v>183128.30258699998</x:v>
      </x:c>
      <x:c r="E258" s="15" t="n">
        <x:v>179027.528243</x:v>
      </x:c>
      <x:c r="F258" s="15" t="n">
        <x:v>362155.83083</x:v>
      </x:c>
      <x:c r="G258" s="15" t="n">
        <x:v>4100.774343999976</x:v>
      </x:c>
      <x:c r="H258" s="15" t="n">
        <x:v>209983.540602</x:v>
      </x:c>
      <x:c r="I258" s="15" t="n">
        <x:v>393111.843189</x:v>
      </x:c>
      <x:c r="J258" s="15" t="n">
        <x:v>139724.016987</x:v>
      </x:c>
      <x:c r="K258" s="15" t="n">
        <x:v>196180.278837</x:v>
      </x:c>
      <x:c r="L258" s="15" t="n">
        <x:v>335904.29582400003</x:v>
      </x:c>
      <x:c r="M258" s="15" t="n">
        <x:v>-56456.26184999998</x:v>
      </x:c>
      <x:c r="N258" s="15" t="n">
        <x:v>3.950256035113385</x:v>
      </x:c>
      <x:c r="O258" s="15" t="n">
        <x:v>702125.84</x:v>
      </x:c>
      <x:c r="P258" s="15" t="n">
        <x:v>2959096.49445</x:v>
      </x:c>
      <x:c r="Q258" s="15" t="n">
        <x:v>18679</x:v>
      </x:c>
      <x:c r="R258" s="15" t="n">
        <x:v>10.920118723487082</x:v>
      </x:c>
      <x:c r="S258" s="15" t="n">
        <x:v>0.16482222745466402</x:v>
      </x:c>
      <x:c r="T258" s="15" t="n">
        <x:v>0.1421464108031345</x:v>
      </x:c>
      <x:c r="U258" s="15" t="n">
        <x:v>0.17044071098126778</x:v>
      </x:c>
    </x:row>
    <x:row r="259">
      <x:c r="A259" s="13" t="str">
        <x:v>all_360</x:v>
      </x:c>
      <x:c r="B259" s="36" t="n">
        <x:v>45931.416666666664</x:v>
      </x:c>
      <x:c r="C259" s="36" t="n">
        <x:v>45931.5</x:v>
      </x:c>
      <x:c r="D259" s="15" t="n">
        <x:v>88563.572269</x:v>
      </x:c>
      <x:c r="E259" s="15" t="n">
        <x:v>82723.294766</x:v>
      </x:c>
      <x:c r="F259" s="15" t="n">
        <x:v>171286.867035</x:v>
      </x:c>
      <x:c r="G259" s="15" t="n">
        <x:v>5840.27750299999</x:v>
      </x:c>
      <x:c r="H259" s="15" t="n">
        <x:v>58285.699412</x:v>
      </x:c>
      <x:c r="I259" s="15" t="n">
        <x:v>146849.271681</x:v>
      </x:c>
      <x:c r="J259" s="15" t="n">
        <x:v>311374.81108</x:v>
      </x:c>
      <x:c r="K259" s="15" t="n">
        <x:v>129732.27402799999</x:v>
      </x:c>
      <x:c r="L259" s="15" t="n">
        <x:v>441107.08510799997</x:v>
      </x:c>
      <x:c r="M259" s="15" t="n">
        <x:v>181642.53705200003</x:v>
      </x:c>
      <x:c r="N259" s="15" t="n">
        <x:v>0.9442870632672341</x:v>
      </x:c>
      <x:c r="O259" s="15" t="n">
        <x:v>150788.84</x:v>
      </x:c>
      <x:c r="P259" s="15" t="n">
        <x:v>635651.6411</x:v>
      </x:c>
      <x:c r="Q259" s="15" t="n">
        <x:v>4024</x:v>
      </x:c>
      <x:c r="R259" s="15" t="n">
        <x:v>5.151069582531487</x:v>
      </x:c>
      <x:c r="S259" s="15" t="n">
        <x:v>0.14245014245012344</x:v>
      </x:c>
      <x:c r="T259" s="15" t="n">
        <x:v>0.013523123475456256</x:v>
      </x:c>
      <x:c r="U259" s="15" t="n">
        <x:v>0.11870845204178249</x:v>
      </x:c>
    </x:row>
    <x:row r="260">
      <x:c r="A260" s="13" t="str">
        <x:v>all_360</x:v>
      </x:c>
      <x:c r="B260" s="36" t="n">
        <x:v>45931.5</x:v>
      </x:c>
      <x:c r="C260" s="36" t="n">
        <x:v>45931.583333333336</x:v>
      </x:c>
      <x:c r="D260" s="15" t="n">
        <x:v>132715.459567</x:v>
      </x:c>
      <x:c r="E260" s="15" t="n">
        <x:v>120402.59478</x:v>
      </x:c>
      <x:c r="F260" s="15" t="n">
        <x:v>253118.05434700003</x:v>
      </x:c>
      <x:c r="G260" s="15" t="n">
        <x:v>12312.864787000013</x:v>
      </x:c>
      <x:c r="H260" s="15" t="n">
        <x:v>990496.059596</x:v>
      </x:c>
      <x:c r="I260" s="15" t="n">
        <x:v>1123211.519163</x:v>
      </x:c>
      <x:c r="J260" s="15" t="n">
        <x:v>73334.831684</x:v>
      </x:c>
      <x:c r="K260" s="15" t="n">
        <x:v>128294.359085</x:v>
      </x:c>
      <x:c r="L260" s="15" t="n">
        <x:v>201629.190769</x:v>
      </x:c>
      <x:c r="M260" s="15" t="n">
        <x:v>-54959.527401</x:v>
      </x:c>
      <x:c r="N260" s="15" t="n">
        <x:v>0.7366920152091393</x:v>
      </x:c>
      <x:c r="O260" s="15" t="n">
        <x:v>163360.05</x:v>
      </x:c>
      <x:c r="P260" s="15" t="n">
        <x:v>685803.99</x:v>
      </x:c>
      <x:c r="Q260" s="15" t="n">
        <x:v>3862</x:v>
      </x:c>
      <x:c r="R260" s="15" t="n">
        <x:v>5.6923086121106525</x:v>
      </x:c>
      <x:c r="S260" s="15" t="n">
        <x:v>0.19038553069966602</x:v>
      </x:c>
      <x:c r="T260" s="15" t="n">
        <x:v>0.05202206418372102</x:v>
      </x:c>
      <x:c r="U260" s="15" t="n">
        <x:v>0.1667063586568207</x:v>
      </x:c>
    </x:row>
    <x:row r="261">
      <x:c r="A261" s="13" t="str">
        <x:v>all_360</x:v>
      </x:c>
      <x:c r="B261" s="36" t="n">
        <x:v>45931.583333333336</x:v>
      </x:c>
      <x:c r="C261" s="36" t="n">
        <x:v>45931.666666666664</x:v>
      </x:c>
      <x:c r="D261" s="15" t="n">
        <x:v>362379.531997</x:v>
      </x:c>
      <x:c r="E261" s="15" t="n">
        <x:v>378196.972025</x:v>
      </x:c>
      <x:c r="F261" s="15" t="n">
        <x:v>740576.504022</x:v>
      </x:c>
      <x:c r="G261" s="15" t="n">
        <x:v>-15817.440028000041</x:v>
      </x:c>
      <x:c r="H261" s="15" t="n">
        <x:v>582150.427209</x:v>
      </x:c>
      <x:c r="I261" s="15" t="n">
        <x:v>944529.959206</x:v>
      </x:c>
      <x:c r="J261" s="15" t="n">
        <x:v>364442.260787</x:v>
      </x:c>
      <x:c r="K261" s="15" t="n">
        <x:v>1410327.497206</x:v>
      </x:c>
      <x:c r="L261" s="15" t="n">
        <x:v>1774769.7579929999</x:v>
      </x:c>
      <x:c r="M261" s="15" t="n">
        <x:v>-1045885.236419</x:v>
      </x:c>
      <x:c r="N261" s="15" t="n">
        <x:v>0.977121067683517</x:v>
      </x:c>
      <x:c r="O261" s="15" t="n">
        <x:v>395345.26</x:v>
      </x:c>
      <x:c r="P261" s="15" t="n">
        <x:v>1660805.07765</x:v>
      </x:c>
      <x:c r="Q261" s="15" t="n">
        <x:v>8026</x:v>
      </x:c>
      <x:c r="R261" s="15" t="n">
        <x:v>6.2872468284302485</x:v>
      </x:c>
      <x:c r="S261" s="15" t="n">
        <x:v>0.14319809069213152</x:v>
      </x:c>
      <x:c r="T261" s="15" t="n">
        <x:v>0.07163323782235498</x:v>
      </x:c>
      <x:c r="U261" s="15" t="n">
        <x:v>0.190885230255311</x:v>
      </x:c>
    </x:row>
    <x:row r="262">
      <x:c r="A262" s="13" t="str">
        <x:v>all_360</x:v>
      </x:c>
      <x:c r="B262" s="36" t="n">
        <x:v>45931.666666666664</x:v>
      </x:c>
      <x:c r="C262" s="36" t="n">
        <x:v>45931.75</x:v>
      </x:c>
      <x:c r="D262" s="15" t="n">
        <x:v>401613.722374</x:v>
      </x:c>
      <x:c r="E262" s="15" t="n">
        <x:v>406280.515459</x:v>
      </x:c>
      <x:c r="F262" s="15" t="n">
        <x:v>807894.237833</x:v>
      </x:c>
      <x:c r="G262" s="15" t="n">
        <x:v>-4666.793085000012</x:v>
      </x:c>
      <x:c r="H262" s="15" t="n">
        <x:v>308010.726149</x:v>
      </x:c>
      <x:c r="I262" s="15" t="n">
        <x:v>709624.448523</x:v>
      </x:c>
      <x:c r="J262" s="15" t="n">
        <x:v>419467.461007</x:v>
      </x:c>
      <x:c r="K262" s="15" t="n">
        <x:v>1636428.60853</x:v>
      </x:c>
      <x:c r="L262" s="15" t="n">
        <x:v>2055896.069537</x:v>
      </x:c>
      <x:c r="M262" s="15" t="n">
        <x:v>-1216961.1475230001</x:v>
      </x:c>
      <x:c r="N262" s="15" t="n">
        <x:v>1.4779499404052507</x:v>
      </x:c>
      <x:c r="O262" s="15" t="n">
        <x:v>541662.06</x:v>
      </x:c>
      <x:c r="P262" s="15" t="n">
        <x:v>2258251.88868</x:v>
      </x:c>
      <x:c r="Q262" s="15" t="n">
        <x:v>10295</x:v>
      </x:c>
      <x:c r="R262" s="15" t="n">
        <x:v>6.2555880607030545</x:v>
      </x:c>
      <x:c r="S262" s="15" t="n">
        <x:v>0.16790597265530227</x:v>
      </x:c>
      <x:c r="T262" s="15" t="n">
        <x:v>0.07981035463694441</x:v>
      </x:c>
      <x:c r="U262" s="15" t="n">
        <x:v>0.16714422158546904</x:v>
      </x:c>
    </x:row>
    <x:row r="263">
      <x:c r="A263" s="13" t="str">
        <x:v>all_360</x:v>
      </x:c>
      <x:c r="B263" s="36" t="n">
        <x:v>45931.75</x:v>
      </x:c>
      <x:c r="C263" s="36" t="n">
        <x:v>45931.833333333336</x:v>
      </x:c>
      <x:c r="D263" s="15" t="n">
        <x:v>600338.517418</x:v>
      </x:c>
      <x:c r="E263" s="15" t="n">
        <x:v>584304.1801209999</x:v>
      </x:c>
      <x:c r="F263" s="15" t="n">
        <x:v>1184642.6975389998</x:v>
      </x:c>
      <x:c r="G263" s="15" t="n">
        <x:v>16034.337297000107</x:v>
      </x:c>
      <x:c r="H263" s="15" t="n">
        <x:v>2214704.109858</x:v>
      </x:c>
      <x:c r="I263" s="15" t="n">
        <x:v>2815042.627276</x:v>
      </x:c>
      <x:c r="J263" s="15" t="n">
        <x:v>621090.264916</x:v>
      </x:c>
      <x:c r="K263" s="15" t="n">
        <x:v>2486406.266318</x:v>
      </x:c>
      <x:c r="L263" s="15" t="n">
        <x:v>3107496.531234</x:v>
      </x:c>
      <x:c r="M263" s="15" t="n">
        <x:v>-1865316.001402</x:v>
      </x:c>
      <x:c r="N263" s="15" t="n">
        <x:v>1.8115942028985552</x:v>
      </x:c>
      <x:c r="O263" s="15" t="n">
        <x:v>693682.79</x:v>
      </x:c>
      <x:c r="P263" s="15" t="n">
        <x:v>2899903.97383</x:v>
      </x:c>
      <x:c r="Q263" s="15" t="n">
        <x:v>12222</x:v>
      </x:c>
      <x:c r="R263" s="15" t="n">
        <x:v>7.941140827113169</x:v>
      </x:c>
      <x:c r="S263" s="15" t="n">
        <x:v>0.14282313734823582</x:v>
      </x:c>
      <x:c r="T263" s="15" t="n">
        <x:v>0.09564801530369538</x:v>
      </x:c>
      <x:c r="U263" s="15" t="n">
        <x:v>0.1681883709754861</x:v>
      </x:c>
    </x:row>
    <x:row r="264">
      <x:c r="A264" s="13" t="str">
        <x:v>all_360</x:v>
      </x:c>
      <x:c r="B264" s="36" t="n">
        <x:v>45931.833333333336</x:v>
      </x:c>
      <x:c r="C264" s="36" t="n">
        <x:v>45931.916666666664</x:v>
      </x:c>
      <x:c r="D264" s="15" t="n">
        <x:v>766194.806662</x:v>
      </x:c>
      <x:c r="E264" s="15" t="n">
        <x:v>761166.608182</x:v>
      </x:c>
      <x:c r="F264" s="15" t="n">
        <x:v>1527361.414844</x:v>
      </x:c>
      <x:c r="G264" s="15" t="n">
        <x:v>5028.198480000021</x:v>
      </x:c>
      <x:c r="H264" s="15" t="n">
        <x:v>1021482.371175</x:v>
      </x:c>
      <x:c r="I264" s="15" t="n">
        <x:v>1787677.177837</x:v>
      </x:c>
      <x:c r="J264" s="15" t="n">
        <x:v>1136109.270585</x:v>
      </x:c>
      <x:c r="K264" s="15" t="n">
        <x:v>1995198.865821</x:v>
      </x:c>
      <x:c r="L264" s="15" t="n">
        <x:v>3131308.136406</x:v>
      </x:c>
      <x:c r="M264" s="15" t="n">
        <x:v>-859089.5952359999</x:v>
      </x:c>
      <x:c r="N264" s="15" t="n">
        <x:v>2.4542829643888218</x:v>
      </x:c>
      <x:c r="O264" s="15" t="n">
        <x:v>1049752.66</x:v>
      </x:c>
      <x:c r="P264" s="15" t="n">
        <x:v>4311217.97215</x:v>
      </x:c>
      <x:c r="Q264" s="15" t="n">
        <x:v>16641</x:v>
      </x:c>
      <x:c r="R264" s="15" t="n">
        <x:v>10.921996623771978</x:v>
      </x:c>
      <x:c r="S264" s="15" t="n">
        <x:v>0.19579050416055344</x:v>
      </x:c>
      <x:c r="T264" s="15" t="n">
        <x:v>0.09789525208028227</x:v>
      </x:c>
      <x:c r="U264" s="15" t="n">
        <x:v>0.22021042329335438</x:v>
      </x:c>
    </x:row>
    <x:row r="265">
      <x:c r="A265" s="13" t="str">
        <x:v>all_360</x:v>
      </x:c>
      <x:c r="B265" s="36" t="n">
        <x:v>45931.916666666664</x:v>
      </x:c>
      <x:c r="C265" s="36" t="n">
        <x:v>45932</x:v>
      </x:c>
      <x:c r="D265" s="15" t="n">
        <x:v>211853.372398</x:v>
      </x:c>
      <x:c r="E265" s="15" t="n">
        <x:v>212078.615438</x:v>
      </x:c>
      <x:c r="F265" s="15" t="n">
        <x:v>423931.98783600004</x:v>
      </x:c>
      <x:c r="G265" s="15" t="n">
        <x:v>-225.2430400000012</x:v>
      </x:c>
      <x:c r="H265" s="15" t="n">
        <x:v>367897.284636</x:v>
      </x:c>
      <x:c r="I265" s="15" t="n">
        <x:v>579750.657034</x:v>
      </x:c>
      <x:c r="J265" s="15" t="n">
        <x:v>222327.383629</x:v>
      </x:c>
      <x:c r="K265" s="15" t="n">
        <x:v>56256.550687</x:v>
      </x:c>
      <x:c r="L265" s="15" t="n">
        <x:v>278583.93431599997</x:v>
      </x:c>
      <x:c r="M265" s="15" t="n">
        <x:v>166070.83294199998</x:v>
      </x:c>
      <x:c r="N265" s="15" t="n">
        <x:v>1.0238907849829306</x:v>
      </x:c>
      <x:c r="O265" s="15" t="n">
        <x:v>379367.77</x:v>
      </x:c>
      <x:c r="P265" s="15" t="n">
        <x:v>1560848.47761</x:v>
      </x:c>
      <x:c r="Q265" s="15" t="n">
        <x:v>5232</x:v>
      </x:c>
      <x:c r="R265" s="15" t="n">
        <x:v>6.512173642639252</x:v>
      </x:c>
      <x:c r="S265" s="15" t="n">
        <x:v>0.12162490878131482</x:v>
      </x:c>
      <x:c r="T265" s="15" t="n">
        <x:v>0.04159295321468637</x:v>
      </x:c>
      <x:c r="U265" s="15" t="n">
        <x:v>0.17019207391200109</x:v>
      </x:c>
    </x:row>
    <x:row r="266">
      <x:c r="A266" s="13" t="str">
        <x:v>all_360</x:v>
      </x:c>
      <x:c r="B266" s="36" t="n">
        <x:v>45932</x:v>
      </x:c>
      <x:c r="C266" s="36" t="n">
        <x:v>45932.083333333336</x:v>
      </x:c>
      <x:c r="D266" s="15" t="n">
        <x:v>132000.230912</x:v>
      </x:c>
      <x:c r="E266" s="15" t="n">
        <x:v>126003.964726</x:v>
      </x:c>
      <x:c r="F266" s="15" t="n">
        <x:v>258004.195638</x:v>
      </x:c>
      <x:c r="G266" s="15" t="n">
        <x:v>5996.2661859999935</x:v>
      </x:c>
      <x:c r="H266" s="15" t="n">
        <x:v>325266.445878</x:v>
      </x:c>
      <x:c r="I266" s="15" t="n">
        <x:v>457266.67679</x:v>
      </x:c>
      <x:c r="J266" s="15" t="n">
        <x:v>140234.149413</x:v>
      </x:c>
      <x:c r="K266" s="15" t="n">
        <x:v>24229.346192999998</x:v>
      </x:c>
      <x:c r="L266" s="15" t="n">
        <x:v>164463.495606</x:v>
      </x:c>
      <x:c r="M266" s="15" t="n">
        <x:v>116004.80322</x:v>
      </x:c>
      <x:c r="N266" s="15" t="n">
        <x:v>1.812907904278467</x:v>
      </x:c>
      <x:c r="O266" s="15" t="n">
        <x:v>303686.17</x:v>
      </x:c>
      <x:c r="P266" s="15" t="n">
        <x:v>1260840.05257</x:v>
      </x:c>
      <x:c r="Q266" s="15" t="n">
        <x:v>4390</x:v>
      </x:c>
      <x:c r="R266" s="15" t="n">
        <x:v>6.746544184570236</x:v>
      </x:c>
      <x:c r="S266" s="15" t="n">
        <x:v>0.19314340898116678</x:v>
      </x:c>
      <x:c r="T266" s="15" t="n">
        <x:v>0.03672658406891349</x:v>
      </x:c>
      <x:c r="U266" s="15" t="n">
        <x:v>0.12056908608631955</x:v>
      </x:c>
    </x:row>
    <x:row r="267">
      <x:c r="A267" s="13" t="str">
        <x:v>all_360</x:v>
      </x:c>
      <x:c r="B267" s="36" t="n">
        <x:v>45932.083333333336</x:v>
      </x:c>
      <x:c r="C267" s="36" t="n">
        <x:v>45932.166666666664</x:v>
      </x:c>
      <x:c r="D267" s="15" t="n">
        <x:v>38829.123728</x:v>
      </x:c>
      <x:c r="E267" s="15" t="n">
        <x:v>37718.110361</x:v>
      </x:c>
      <x:c r="F267" s="15" t="n">
        <x:v>76547.234089</x:v>
      </x:c>
      <x:c r="G267" s="15" t="n">
        <x:v>1111.0133669999996</x:v>
      </x:c>
      <x:c r="H267" s="15" t="n">
        <x:v>172935.363446</x:v>
      </x:c>
      <x:c r="I267" s="15" t="n">
        <x:v>211764.487174</x:v>
      </x:c>
      <x:c r="J267" s="15" t="n">
        <x:v>76541.93135700001</x:v>
      </x:c>
      <x:c r="K267" s="15" t="n">
        <x:v>7611.862428</x:v>
      </x:c>
      <x:c r="L267" s="15" t="n">
        <x:v>84153.79378500002</x:v>
      </x:c>
      <x:c r="M267" s="15" t="n">
        <x:v>68930.068929</x:v>
      </x:c>
      <x:c r="N267" s="15" t="n">
        <x:v>1.047619047619059</x:v>
      </x:c>
      <x:c r="O267" s="15" t="n">
        <x:v>146648.69</x:v>
      </x:c>
      <x:c r="P267" s="15" t="n">
        <x:v>616536.17934</x:v>
      </x:c>
      <x:c r="Q267" s="15" t="n">
        <x:v>2878</x:v>
      </x:c>
      <x:c r="R267" s="15" t="n">
        <x:v>5.925721162756092</x:v>
      </x:c>
      <x:c r="S267" s="15" t="n">
        <x:v>0.26078710289236806</x:v>
      </x:c>
      <x:c r="T267" s="15" t="n">
        <x:v>0.013703878202298014</x:v>
      </x:c>
      <x:c r="U267" s="15" t="n">
        <x:v>0.14312977099236734</x:v>
      </x:c>
    </x:row>
    <x:row r="268">
      <x:c r="A268" s="13" t="str">
        <x:v>all_360</x:v>
      </x:c>
      <x:c r="B268" s="36" t="n">
        <x:v>45932.166666666664</x:v>
      </x:c>
      <x:c r="C268" s="36" t="n">
        <x:v>45932.25</x:v>
      </x:c>
      <x:c r="D268" s="15" t="n">
        <x:v>83899.652545</x:v>
      </x:c>
      <x:c r="E268" s="15" t="n">
        <x:v>90390.445372</x:v>
      </x:c>
      <x:c r="F268" s="15" t="n">
        <x:v>174290.097917</x:v>
      </x:c>
      <x:c r="G268" s="15" t="n">
        <x:v>-6490.7928269999975</x:v>
      </x:c>
      <x:c r="H268" s="15" t="n">
        <x:v>86585.085344</x:v>
      </x:c>
      <x:c r="I268" s="15" t="n">
        <x:v>170484.737889</x:v>
      </x:c>
      <x:c r="J268" s="15" t="n">
        <x:v>188734.557856</x:v>
      </x:c>
      <x:c r="K268" s="15" t="n">
        <x:v>305437.694973</x:v>
      </x:c>
      <x:c r="L268" s="15" t="n">
        <x:v>494172.252829</x:v>
      </x:c>
      <x:c r="M268" s="15" t="n">
        <x:v>-116703.13711699998</x:v>
      </x:c>
      <x:c r="N268" s="15" t="n">
        <x:v>1.333015948583672</x:v>
      </x:c>
      <x:c r="O268" s="15" t="n">
        <x:v>264464.69</x:v>
      </x:c>
      <x:c r="P268" s="15" t="n">
        <x:v>1114604.61714</x:v>
      </x:c>
      <x:c r="Q268" s="15" t="n">
        <x:v>4099</x:v>
      </x:c>
      <x:c r="R268" s="15" t="n">
        <x:v>7.166985347167265</x:v>
      </x:c>
      <x:c r="S268" s="15" t="n">
        <x:v>0.18952854773750527</x:v>
      </x:c>
      <x:c r="T268" s="15" t="n">
        <x:v>0.023872045834338884</x:v>
      </x:c>
      <x:c r="U268" s="15" t="n">
        <x:v>0.1894836570345837</x:v>
      </x:c>
    </x:row>
    <x:row r="269">
      <x:c r="A269" s="13" t="str">
        <x:v>all_360</x:v>
      </x:c>
      <x:c r="B269" s="36" t="n">
        <x:v>45932.25</x:v>
      </x:c>
      <x:c r="C269" s="36" t="n">
        <x:v>45932.333333333336</x:v>
      </x:c>
      <x:c r="D269" s="15" t="n">
        <x:v>66263.552066</x:v>
      </x:c>
      <x:c r="E269" s="15" t="n">
        <x:v>67178.965424</x:v>
      </x:c>
      <x:c r="F269" s="15" t="n">
        <x:v>133442.51749</x:v>
      </x:c>
      <x:c r="G269" s="15" t="n">
        <x:v>-915.4133579999907</x:v>
      </x:c>
      <x:c r="H269" s="15" t="n">
        <x:v>33576.508694</x:v>
      </x:c>
      <x:c r="I269" s="15" t="n">
        <x:v>99840.06076</x:v>
      </x:c>
      <x:c r="J269" s="15" t="n">
        <x:v>23774.471319</x:v>
      </x:c>
      <x:c r="K269" s="15" t="n">
        <x:v>41564.760129</x:v>
      </x:c>
      <x:c r="L269" s="15" t="n">
        <x:v>65339.231448000006</x:v>
      </x:c>
      <x:c r="M269" s="15" t="n">
        <x:v>-17790.288810000002</x:v>
      </x:c>
      <x:c r="N269" s="15" t="n">
        <x:v>0.8074091664687677</x:v>
      </x:c>
      <x:c r="O269" s="15" t="n">
        <x:v>203151.9</x:v>
      </x:c>
      <x:c r="P269" s="15" t="n">
        <x:v>858087.25029</x:v>
      </x:c>
      <x:c r="Q269" s="15" t="n">
        <x:v>3258</x:v>
      </x:c>
      <x:c r="R269" s="15" t="n">
        <x:v>6.322816041010992</x:v>
      </x:c>
      <x:c r="S269" s="15" t="n">
        <x:v>0.21347248576850664</x:v>
      </x:c>
      <x:c r="T269" s="15" t="n">
        <x:v>0.00866544053075291</x:v>
      </x:c>
      <x:c r="U269" s="15" t="n">
        <x:v>0.1424163304058923</x:v>
      </x:c>
    </x:row>
    <x:row r="270">
      <x:c r="A270" s="13" t="str">
        <x:v>all_360</x:v>
      </x:c>
      <x:c r="B270" s="36" t="n">
        <x:v>45932.333333333336</x:v>
      </x:c>
      <x:c r="C270" s="36" t="n">
        <x:v>45932.416666666664</x:v>
      </x:c>
      <x:c r="D270" s="15" t="n">
        <x:v>75468.05143</x:v>
      </x:c>
      <x:c r="E270" s="15" t="n">
        <x:v>72851.818187</x:v>
      </x:c>
      <x:c r="F270" s="15" t="n">
        <x:v>148319.869617</x:v>
      </x:c>
      <x:c r="G270" s="15" t="n">
        <x:v>2616.2332430000097</x:v>
      </x:c>
      <x:c r="H270" s="15" t="n">
        <x:v>92232.268259</x:v>
      </x:c>
      <x:c r="I270" s="15" t="n">
        <x:v>167700.31968900003</x:v>
      </x:c>
      <x:c r="J270" s="15" t="n">
        <x:v>108867.037497</x:v>
      </x:c>
      <x:c r="K270" s="15" t="n">
        <x:v>26941.492632999998</x:v>
      </x:c>
      <x:c r="L270" s="15" t="n">
        <x:v>135808.53013</x:v>
      </x:c>
      <x:c r="M270" s="15" t="n">
        <x:v>81925.544864</x:v>
      </x:c>
      <x:c r="N270" s="15" t="n">
        <x:v>0.6639791320844314</x:v>
      </x:c>
      <x:c r="O270" s="15" t="n">
        <x:v>119622.19</x:v>
      </x:c>
      <x:c r="P270" s="15" t="n">
        <x:v>505577.24653</x:v>
      </x:c>
      <x:c r="Q270" s="15" t="n">
        <x:v>2159</x:v>
      </x:c>
      <x:c r="R270" s="15" t="n">
        <x:v>4.660203964887177</x:v>
      </x:c>
      <x:c r="S270" s="15" t="n">
        <x:v>0.1421464108031345</x:v>
      </x:c>
      <x:c r="T270" s="15" t="n">
        <x:v>0.00211776920209239</x:v>
      </x:c>
      <x:c r="U270" s="15" t="n">
        <x:v>0.14154281670205604</x:v>
      </x:c>
    </x:row>
    <x:row r="271">
      <x:c r="A271" s="13" t="str">
        <x:v>all_360</x:v>
      </x:c>
      <x:c r="B271" s="36" t="n">
        <x:v>45932.416666666664</x:v>
      </x:c>
      <x:c r="C271" s="36" t="n">
        <x:v>45932.5</x:v>
      </x:c>
      <x:c r="D271" s="15" t="n">
        <x:v>84388.001754</x:v>
      </x:c>
      <x:c r="E271" s="15" t="n">
        <x:v>83421.186799</x:v>
      </x:c>
      <x:c r="F271" s="15" t="n">
        <x:v>167809.18855299999</x:v>
      </x:c>
      <x:c r="G271" s="15" t="n">
        <x:v>966.8149549999944</x:v>
      </x:c>
      <x:c r="H271" s="15" t="n">
        <x:v>151542.887966</x:v>
      </x:c>
      <x:c r="I271" s="15" t="n">
        <x:v>235930.88972</x:v>
      </x:c>
      <x:c r="J271" s="15" t="n">
        <x:v>24798.263344</x:v>
      </x:c>
      <x:c r="K271" s="15" t="n">
        <x:v>15238.851795</x:v>
      </x:c>
      <x:c r="L271" s="15" t="n">
        <x:v>40037.115139</x:v>
      </x:c>
      <x:c r="M271" s="15" t="n">
        <x:v>9559.411548999999</x:v>
      </x:c>
      <x:c r="N271" s="15" t="n">
        <x:v>1.275389702409076</x:v>
      </x:c>
      <x:c r="O271" s="15" t="n">
        <x:v>194455.9</x:v>
      </x:c>
      <x:c r="P271" s="15" t="n">
        <x:v>826282.16972</x:v>
      </x:c>
      <x:c r="Q271" s="15" t="n">
        <x:v>3274</x:v>
      </x:c>
      <x:c r="R271" s="15" t="n">
        <x:v>6.311764566807643</x:v>
      </x:c>
      <x:c r="S271" s="15" t="n">
        <x:v>0.1887237556027377</x:v>
      </x:c>
      <x:c r="T271" s="15" t="n">
        <x:v>0</x:v>
      </x:c>
      <x:c r="U271" s="15" t="n">
        <x:v>0.18814675446848783</x:v>
      </x:c>
    </x:row>
    <x:row r="272">
      <x:c r="A272" s="13" t="str">
        <x:v>all_360</x:v>
      </x:c>
      <x:c r="B272" s="36" t="n">
        <x:v>45932.5</x:v>
      </x:c>
      <x:c r="C272" s="36" t="n">
        <x:v>45932.583333333336</x:v>
      </x:c>
      <x:c r="D272" s="15" t="n">
        <x:v>90947.601736</x:v>
      </x:c>
      <x:c r="E272" s="15" t="n">
        <x:v>87816.679869</x:v>
      </x:c>
      <x:c r="F272" s="15" t="n">
        <x:v>178764.281605</x:v>
      </x:c>
      <x:c r="G272" s="15" t="n">
        <x:v>3130.9218669999973</x:v>
      </x:c>
      <x:c r="H272" s="15" t="n">
        <x:v>109239.159138</x:v>
      </x:c>
      <x:c r="I272" s="15" t="n">
        <x:v>200186.760874</x:v>
      </x:c>
      <x:c r="J272" s="15" t="n">
        <x:v>107646.590538</x:v>
      </x:c>
      <x:c r="K272" s="15" t="n">
        <x:v>21266.123793</x:v>
      </x:c>
      <x:c r="L272" s="15" t="n">
        <x:v>128912.714331</x:v>
      </x:c>
      <x:c r="M272" s="15" t="n">
        <x:v>86380.46674500001</x:v>
      </x:c>
      <x:c r="N272" s="15" t="n">
        <x:v>1.1745360582569844</x:v>
      </x:c>
      <x:c r="O272" s="15" t="n">
        <x:v>312076.02</x:v>
      </x:c>
      <x:c r="P272" s="15" t="n">
        <x:v>1330593.89049</x:v>
      </x:c>
      <x:c r="Q272" s="15" t="n">
        <x:v>4861</x:v>
      </x:c>
      <x:c r="R272" s="15" t="n">
        <x:v>7.863340233075844</x:v>
      </x:c>
      <x:c r="S272" s="15" t="n">
        <x:v>0.21106941838650028</x:v>
      </x:c>
      <x:c r="T272" s="15" t="n">
        <x:v>0.060964699401788724</x:v>
      </x:c>
      <x:c r="U272" s="15" t="n">
        <x:v>0.21047708138446364</x:v>
      </x:c>
    </x:row>
    <x:row r="273">
      <x:c r="A273" s="13" t="str">
        <x:v>all_360</x:v>
      </x:c>
      <x:c r="B273" s="36" t="n">
        <x:v>45932.583333333336</x:v>
      </x:c>
      <x:c r="C273" s="36" t="n">
        <x:v>45932.666666666664</x:v>
      </x:c>
      <x:c r="D273" s="15" t="n">
        <x:v>119822.356082</x:v>
      </x:c>
      <x:c r="E273" s="15" t="n">
        <x:v>123071.75591200001</x:v>
      </x:c>
      <x:c r="F273" s="15" t="n">
        <x:v>242894.111994</x:v>
      </x:c>
      <x:c r="G273" s="15" t="n">
        <x:v>-3249.3998300000094</x:v>
      </x:c>
      <x:c r="H273" s="15" t="n">
        <x:v>168137.587035</x:v>
      </x:c>
      <x:c r="I273" s="15" t="n">
        <x:v>287959.943117</x:v>
      </x:c>
      <x:c r="J273" s="15" t="n">
        <x:v>93140.536106</x:v>
      </x:c>
      <x:c r="K273" s="15" t="n">
        <x:v>35656.359694</x:v>
      </x:c>
      <x:c r="L273" s="15" t="n">
        <x:v>128796.8958</x:v>
      </x:c>
      <x:c r="M273" s="15" t="n">
        <x:v>57484.176412</x:v>
      </x:c>
      <x:c r="N273" s="15" t="n">
        <x:v>2.481273408239697</x:v>
      </x:c>
      <x:c r="O273" s="15" t="n">
        <x:v>293333.62</x:v>
      </x:c>
      <x:c r="P273" s="15" t="n">
        <x:v>1235013.58825</x:v>
      </x:c>
      <x:c r="Q273" s="15" t="n">
        <x:v>6199</x:v>
      </x:c>
      <x:c r="R273" s="15" t="n">
        <x:v>9.91648784070971</x:v>
      </x:c>
      <x:c r="S273" s="15" t="n">
        <x:v>0.23849272597185056</x:v>
      </x:c>
      <x:c r="T273" s="15" t="n">
        <x:v>0.07146260123869208</x:v>
      </x:c>
      <x:c r="U273" s="15" t="n">
        <x:v>0.16746411483252732</x:v>
      </x:c>
    </x:row>
    <x:row r="274">
      <x:c r="A274" s="13" t="str">
        <x:v>all_360</x:v>
      </x:c>
      <x:c r="B274" s="36" t="n">
        <x:v>45932.666666666664</x:v>
      </x:c>
      <x:c r="C274" s="36" t="n">
        <x:v>45932.75</x:v>
      </x:c>
      <x:c r="D274" s="15" t="n">
        <x:v>126357.469021</x:v>
      </x:c>
      <x:c r="E274" s="15" t="n">
        <x:v>119607.658713</x:v>
      </x:c>
      <x:c r="F274" s="15" t="n">
        <x:v>245965.12773399998</x:v>
      </x:c>
      <x:c r="G274" s="15" t="n">
        <x:v>6749.810308</x:v>
      </x:c>
      <x:c r="H274" s="15" t="n">
        <x:v>345750.258087</x:v>
      </x:c>
      <x:c r="I274" s="15" t="n">
        <x:v>472107.72710799996</x:v>
      </x:c>
      <x:c r="J274" s="15" t="n">
        <x:v>67185.042583</x:v>
      </x:c>
      <x:c r="K274" s="15" t="n">
        <x:v>38728.286192</x:v>
      </x:c>
      <x:c r="L274" s="15" t="n">
        <x:v>105913.328775</x:v>
      </x:c>
      <x:c r="M274" s="15" t="n">
        <x:v>28456.756391000003</x:v>
      </x:c>
      <x:c r="N274" s="15" t="n">
        <x:v>1.2053887969747141</x:v>
      </x:c>
      <x:c r="O274" s="15" t="n">
        <x:v>400455.42</x:v>
      </x:c>
      <x:c r="P274" s="15" t="n">
        <x:v>1704082.85428</x:v>
      </x:c>
      <x:c r="Q274" s="15" t="n">
        <x:v>6764</x:v>
      </x:c>
      <x:c r="R274" s="15" t="n">
        <x:v>7.834318511022298</x:v>
      </x:c>
      <x:c r="S274" s="15" t="n">
        <x:v>0.21186440677967155</x:v>
      </x:c>
      <x:c r="T274" s="15" t="n">
        <x:v>0.07911936252896767</x:v>
      </x:c>
      <x:c r="U274" s="15" t="n">
        <x:v>0.21191429244170612</x:v>
      </x:c>
    </x:row>
    <x:row r="275">
      <x:c r="A275" s="13" t="str">
        <x:v>all_360</x:v>
      </x:c>
      <x:c r="B275" s="36" t="n">
        <x:v>45932.75</x:v>
      </x:c>
      <x:c r="C275" s="36" t="n">
        <x:v>45932.833333333336</x:v>
      </x:c>
      <x:c r="D275" s="15" t="n">
        <x:v>219767.644807</x:v>
      </x:c>
      <x:c r="E275" s="15" t="n">
        <x:v>215657.526025</x:v>
      </x:c>
      <x:c r="F275" s="15" t="n">
        <x:v>435425.170832</x:v>
      </x:c>
      <x:c r="G275" s="15" t="n">
        <x:v>4110.118782000005</x:v>
      </x:c>
      <x:c r="H275" s="15" t="n">
        <x:v>99560.115666</x:v>
      </x:c>
      <x:c r="I275" s="15" t="n">
        <x:v>319327.760473</x:v>
      </x:c>
      <x:c r="J275" s="15" t="n">
        <x:v>203462.533306</x:v>
      </x:c>
      <x:c r="K275" s="15" t="n">
        <x:v>14656.86788</x:v>
      </x:c>
      <x:c r="L275" s="15" t="n">
        <x:v>218119.401186</x:v>
      </x:c>
      <x:c r="M275" s="15" t="n">
        <x:v>188805.665426</x:v>
      </x:c>
      <x:c r="N275" s="15" t="n">
        <x:v>0.983146067415726</x:v>
      </x:c>
      <x:c r="O275" s="15" t="n">
        <x:v>495670.11</x:v>
      </x:c>
      <x:c r="P275" s="15" t="n">
        <x:v>2126653.66946</x:v>
      </x:c>
      <x:c r="Q275" s="15" t="n">
        <x:v>8296</x:v>
      </x:c>
      <x:c r="R275" s="15" t="n">
        <x:v>7.590357423696892</x:v>
      </x:c>
      <x:c r="S275" s="15" t="n">
        <x:v>0.23331777881474558</x:v>
      </x:c>
      <x:c r="T275" s="15" t="n">
        <x:v>0.16301816488122345</x:v>
      </x:c>
      <x:c r="U275" s="15" t="n">
        <x:v>0.21003500583430812</x:v>
      </x:c>
    </x:row>
    <x:row r="276">
      <x:c r="A276" s="13" t="str">
        <x:v>all_360</x:v>
      </x:c>
      <x:c r="B276" s="36" t="n">
        <x:v>45932.833333333336</x:v>
      </x:c>
      <x:c r="C276" s="36" t="n">
        <x:v>45932.916666666664</x:v>
      </x:c>
      <x:c r="D276" s="15" t="n">
        <x:v>44346.174812000005</x:v>
      </x:c>
      <x:c r="E276" s="15" t="n">
        <x:v>24569.948634</x:v>
      </x:c>
      <x:c r="F276" s="15" t="n">
        <x:v>68916.12344600001</x:v>
      </x:c>
      <x:c r="G276" s="15" t="n">
        <x:v>19776.226178000004</x:v>
      </x:c>
      <x:c r="H276" s="15" t="n">
        <x:v>187449.031345</x:v>
      </x:c>
      <x:c r="I276" s="15" t="n">
        <x:v>231795.206157</x:v>
      </x:c>
      <x:c r="J276" s="15" t="n">
        <x:v>19390.968117</x:v>
      </x:c>
      <x:c r="K276" s="15" t="n">
        <x:v>27686.860561999998</x:v>
      </x:c>
      <x:c r="L276" s="15" t="n">
        <x:v>47077.828679</x:v>
      </x:c>
      <x:c r="M276" s="15" t="n">
        <x:v>-8295.892444999998</x:v>
      </x:c>
      <x:c r="N276" s="15" t="n">
        <x:v>0.9541540609727804</x:v>
      </x:c>
      <x:c r="O276" s="15" t="n">
        <x:v>160701.78</x:v>
      </x:c>
      <x:c r="P276" s="15" t="n">
        <x:v>691230.32102</x:v>
      </x:c>
      <x:c r="Q276" s="15" t="n">
        <x:v>3293</x:v>
      </x:c>
      <x:c r="R276" s="15" t="n">
        <x:v>5.535262829244103</x:v>
      </x:c>
      <x:c r="S276" s="15" t="n">
        <x:v>0.18626309662398421</x:v>
      </x:c>
      <x:c r="T276" s="15" t="n">
        <x:v>0</x:v>
      </x:c>
      <x:c r="U276" s="15" t="n">
        <x:v>0.16245068461361312</x:v>
      </x:c>
    </x:row>
    <x:row r="277">
      <x:c r="A277" s="13" t="str">
        <x:v>all_360</x:v>
      </x:c>
      <x:c r="B277" s="36" t="n">
        <x:v>45932.916666666664</x:v>
      </x:c>
      <x:c r="C277" s="36" t="n">
        <x:v>45933</x:v>
      </x:c>
      <x:c r="D277" s="15" t="n">
        <x:v>335827.185127</x:v>
      </x:c>
      <x:c r="E277" s="15" t="n">
        <x:v>349834.70800499996</x:v>
      </x:c>
      <x:c r="F277" s="15" t="n">
        <x:v>685661.893132</x:v>
      </x:c>
      <x:c r="G277" s="15" t="n">
        <x:v>-14007.522877999989</x:v>
      </x:c>
      <x:c r="H277" s="15" t="n">
        <x:v>120681.586178</x:v>
      </x:c>
      <x:c r="I277" s="15" t="n">
        <x:v>456508.77130499994</x:v>
      </x:c>
      <x:c r="J277" s="15" t="n">
        <x:v>7721.175405</x:v>
      </x:c>
      <x:c r="K277" s="15" t="n">
        <x:v>3402.347129</x:v>
      </x:c>
      <x:c r="L277" s="15" t="n">
        <x:v>11123.522534</x:v>
      </x:c>
      <x:c r="M277" s="15" t="n">
        <x:v>4318.828276</x:v>
      </x:c>
      <x:c r="N277" s="15" t="n">
        <x:v>0.7894125841653077</x:v>
      </x:c>
      <x:c r="O277" s="15" t="n">
        <x:v>122397.38</x:v>
      </x:c>
      <x:c r="P277" s="15" t="n">
        <x:v>526765.80568</x:v>
      </x:c>
      <x:c r="Q277" s="15" t="n">
        <x:v>2810</x:v>
      </x:c>
      <x:c r="R277" s="15" t="n">
        <x:v>5.670547717882735</x:v>
      </x:c>
      <x:c r="S277" s="15" t="n">
        <x:v>0.20886516593178195</x:v>
      </x:c>
      <x:c r="T277" s="15" t="n">
        <x:v>0</x:v>
      </x:c>
      <x:c r="U277" s="15" t="n">
        <x:v>0.16241299303944023</x:v>
      </x:c>
    </x:row>
    <x:row r="278">
      <x:c r="A278" s="13" t="str">
        <x:v>all_360</x:v>
      </x:c>
      <x:c r="B278" s="36" t="n">
        <x:v>45933</x:v>
      </x:c>
      <x:c r="C278" s="36" t="n">
        <x:v>45933.083333333336</x:v>
      </x:c>
      <x:c r="D278" s="15" t="n">
        <x:v>42874.739835</x:v>
      </x:c>
      <x:c r="E278" s="15" t="n">
        <x:v>48427.822711</x:v>
      </x:c>
      <x:c r="F278" s="15" t="n">
        <x:v>91302.562546</x:v>
      </x:c>
      <x:c r="G278" s="15" t="n">
        <x:v>-5553.082876</x:v>
      </x:c>
      <x:c r="H278" s="15" t="n">
        <x:v>55033.068062</x:v>
      </x:c>
      <x:c r="I278" s="15" t="n">
        <x:v>97907.80789699999</x:v>
      </x:c>
      <x:c r="J278" s="15" t="n">
        <x:v>19949.985322</x:v>
      </x:c>
      <x:c r="K278" s="15" t="n">
        <x:v>25104.830141000002</x:v>
      </x:c>
      <x:c r="L278" s="15" t="n">
        <x:v>45054.815463000006</x:v>
      </x:c>
      <x:c r="M278" s="15" t="n">
        <x:v>-5154.844819000002</x:v>
      </x:c>
      <x:c r="N278" s="15" t="n">
        <x:v>2.109411219286029</x:v>
      </x:c>
      <x:c r="O278" s="15" t="n">
        <x:v>132850.15</x:v>
      </x:c>
      <x:c r="P278" s="15" t="n">
        <x:v>566992.14792</x:v>
      </x:c>
      <x:c r="Q278" s="15" t="n">
        <x:v>3451</x:v>
      </x:c>
      <x:c r="R278" s="15" t="n">
        <x:v>6.795544657902952</x:v>
      </x:c>
      <x:c r="S278" s="15" t="n">
        <x:v>0.235183443085607</x:v>
      </x:c>
      <x:c r="T278" s="15" t="n">
        <x:v>0.02342468962287514</x:v>
      </x:c>
      <x:c r="U278" s="15" t="n">
        <x:v>0.21087160262416305</x:v>
      </x:c>
    </x:row>
    <x:row r="279">
      <x:c r="A279" s="13" t="str">
        <x:v>all_360</x:v>
      </x:c>
      <x:c r="B279" s="36" t="n">
        <x:v>45933.083333333336</x:v>
      </x:c>
      <x:c r="C279" s="36" t="n">
        <x:v>45933.166666666664</x:v>
      </x:c>
      <x:c r="D279" s="15" t="n">
        <x:v>28904.453542</x:v>
      </x:c>
      <x:c r="E279" s="15" t="n">
        <x:v>26333.954059</x:v>
      </x:c>
      <x:c r="F279" s="15" t="n">
        <x:v>55238.407601</x:v>
      </x:c>
      <x:c r="G279" s="15" t="n">
        <x:v>2570.4994829999996</x:v>
      </x:c>
      <x:c r="H279" s="15" t="n">
        <x:v>67769.720625</x:v>
      </x:c>
      <x:c r="I279" s="15" t="n">
        <x:v>96674.174167</x:v>
      </x:c>
      <x:c r="J279" s="15" t="n">
        <x:v>16440.494197</x:v>
      </x:c>
      <x:c r="K279" s="15" t="n">
        <x:v>11792.77846</x:v>
      </x:c>
      <x:c r="L279" s="15" t="n">
        <x:v>28233.272657</x:v>
      </x:c>
      <x:c r="M279" s="15" t="n">
        <x:v>4647.715737</x:v>
      </x:c>
      <x:c r="N279" s="15" t="n">
        <x:v>1.203966005665705</x:v>
      </x:c>
      <x:c r="O279" s="15" t="n">
        <x:v>149671.17</x:v>
      </x:c>
      <x:c r="P279" s="15" t="n">
        <x:v>636007.4496</x:v>
      </x:c>
      <x:c r="Q279" s="15" t="n">
        <x:v>3697</x:v>
      </x:c>
      <x:c r="R279" s="15" t="n">
        <x:v>6.235857016100765</x:v>
      </x:c>
      <x:c r="S279" s="15" t="n">
        <x:v>0.235183443085607</x:v>
      </x:c>
      <x:c r="T279" s="15" t="n">
        <x:v>0.023573785950026238</x:v>
      </x:c>
      <x:c r="U279" s="15" t="n">
        <x:v>0.18744142455482393</x:v>
      </x:c>
    </x:row>
    <x:row r="280">
      <x:c r="A280" s="13" t="str">
        <x:v>all_360</x:v>
      </x:c>
      <x:c r="B280" s="36" t="n">
        <x:v>45933.166666666664</x:v>
      </x:c>
      <x:c r="C280" s="36" t="n">
        <x:v>45933.25</x:v>
      </x:c>
      <x:c r="D280" s="15" t="n">
        <x:v>20241.967449</x:v>
      </x:c>
      <x:c r="E280" s="15" t="n">
        <x:v>19596.588777</x:v>
      </x:c>
      <x:c r="F280" s="15" t="n">
        <x:v>39838.556226</x:v>
      </x:c>
      <x:c r="G280" s="15" t="n">
        <x:v>645.3786719999989</x:v>
      </x:c>
      <x:c r="H280" s="15" t="n">
        <x:v>98998.918888</x:v>
      </x:c>
      <x:c r="I280" s="15" t="n">
        <x:v>119240.886337</x:v>
      </x:c>
      <x:c r="J280" s="15" t="n">
        <x:v>55365.666653</x:v>
      </x:c>
      <x:c r="K280" s="15" t="n">
        <x:v>83736.53240299999</x:v>
      </x:c>
      <x:c r="L280" s="15" t="n">
        <x:v>139102.19905599998</x:v>
      </x:c>
      <x:c r="M280" s="15" t="n">
        <x:v>-28370.86574999999</x:v>
      </x:c>
      <x:c r="N280" s="15" t="n">
        <x:v>0.9456264775413719</x:v>
      </x:c>
      <x:c r="O280" s="15" t="n">
        <x:v>85849.39</x:v>
      </x:c>
      <x:c r="P280" s="15" t="n">
        <x:v>364036.00532</x:v>
      </x:c>
      <x:c r="Q280" s="15" t="n">
        <x:v>2323</x:v>
      </x:c>
      <x:c r="R280" s="15" t="n">
        <x:v>5.210996568626736</x:v>
      </x:c>
      <x:c r="S280" s="15" t="n">
        <x:v>0.1886347559537871</x:v>
      </x:c>
      <x:c r="T280" s="15" t="n">
        <x:v>-0.02357378595003734</x:v>
      </x:c>
      <x:c r="U280" s="15" t="n">
        <x:v>0.14181044670291687</x:v>
      </x:c>
    </x:row>
    <x:row r="281">
      <x:c r="A281" s="13" t="str">
        <x:v>all_360</x:v>
      </x:c>
      <x:c r="B281" s="36" t="n">
        <x:v>45933.25</x:v>
      </x:c>
      <x:c r="C281" s="36" t="n">
        <x:v>45933.333333333336</x:v>
      </x:c>
      <x:c r="D281" s="15" t="n">
        <x:v>58756.24265</x:v>
      </x:c>
      <x:c r="E281" s="15" t="n">
        <x:v>59890.273929</x:v>
      </x:c>
      <x:c r="F281" s="15" t="n">
        <x:v>118646.516579</x:v>
      </x:c>
      <x:c r="G281" s="15" t="n">
        <x:v>-1134.0312790000025</x:v>
      </x:c>
      <x:c r="H281" s="15" t="n">
        <x:v>52417.933817000005</x:v>
      </x:c>
      <x:c r="I281" s="15" t="n">
        <x:v>111174.17646700001</x:v>
      </x:c>
      <x:c r="J281" s="15" t="n">
        <x:v>10140.697527</x:v>
      </x:c>
      <x:c r="K281" s="15" t="n">
        <x:v>9660.897377</x:v>
      </x:c>
      <x:c r="L281" s="15" t="n">
        <x:v>19801.594903999998</x:v>
      </x:c>
      <x:c r="M281" s="15" t="n">
        <x:v>479.80015000000094</x:v>
      </x:c>
      <x:c r="N281" s="15" t="n">
        <x:v>0.9912674061836161</x:v>
      </x:c>
      <x:c r="O281" s="15" t="n">
        <x:v>126615.53</x:v>
      </x:c>
      <x:c r="P281" s="15" t="n">
        <x:v>536797.23872</x:v>
      </x:c>
      <x:c r="Q281" s="15" t="n">
        <x:v>3358</x:v>
      </x:c>
      <x:c r="R281" s="15" t="n">
        <x:v>5.944804172472362</x:v>
      </x:c>
      <x:c r="S281" s="15" t="n">
        <x:v>0.21246458923511735</x:v>
      </x:c>
      <x:c r="T281" s="15" t="n">
        <x:v>-0.014507181019185467</x:v>
      </x:c>
      <x:c r="U281" s="15" t="n">
        <x:v>0.1652112343639267</x:v>
      </x:c>
    </x:row>
    <x:row r="282">
      <x:c r="A282" s="13" t="str">
        <x:v>all_360</x:v>
      </x:c>
      <x:c r="B282" s="36" t="n">
        <x:v>45933.333333333336</x:v>
      </x:c>
      <x:c r="C282" s="36" t="n">
        <x:v>45933.416666666664</x:v>
      </x:c>
      <x:c r="D282" s="15" t="n">
        <x:v>43288.755242</x:v>
      </x:c>
      <x:c r="E282" s="15" t="n">
        <x:v>45674.784547</x:v>
      </x:c>
      <x:c r="F282" s="15" t="n">
        <x:v>88963.539789</x:v>
      </x:c>
      <x:c r="G282" s="15" t="n">
        <x:v>-2386.0293050000037</x:v>
      </x:c>
      <x:c r="H282" s="15" t="n">
        <x:v>82795.906311</x:v>
      </x:c>
      <x:c r="I282" s="15" t="n">
        <x:v>126084.661553</x:v>
      </x:c>
      <x:c r="J282" s="15" t="n">
        <x:v>14413.067732</x:v>
      </x:c>
      <x:c r="K282" s="15" t="n">
        <x:v>6940.425424</x:v>
      </x:c>
      <x:c r="L282" s="15" t="n">
        <x:v>21353.493156</x:v>
      </x:c>
      <x:c r="M282" s="15" t="n">
        <x:v>7472.6423079999995</x:v>
      </x:c>
      <x:c r="N282" s="15" t="n">
        <x:v>0.8724357462862514</x:v>
      </x:c>
      <x:c r="O282" s="15" t="n">
        <x:v>194756.46</x:v>
      </x:c>
      <x:c r="P282" s="15" t="n">
        <x:v>824397.6254</x:v>
      </x:c>
      <x:c r="Q282" s="15" t="n">
        <x:v>5258</x:v>
      </x:c>
      <x:c r="R282" s="15" t="n">
        <x:v>5.3824404892710564</x:v>
      </x:c>
      <x:c r="S282" s="15" t="n">
        <x:v>0.2353494939985823</x:v>
      </x:c>
      <x:c r="T282" s="15" t="n">
        <x:v>0</x:v>
      </x:c>
      <x:c r="U282" s="15" t="n">
        <x:v>0.18854584020739917</x:v>
      </x:c>
    </x:row>
    <x:row r="283">
      <x:c r="A283" s="13" t="str">
        <x:v>all_360</x:v>
      </x:c>
      <x:c r="B283" s="36" t="n">
        <x:v>45933.416666666664</x:v>
      </x:c>
      <x:c r="C283" s="36" t="n">
        <x:v>45933.5</x:v>
      </x:c>
      <x:c r="D283" s="15" t="n">
        <x:v>56049.126175</x:v>
      </x:c>
      <x:c r="E283" s="15" t="n">
        <x:v>56107.277823</x:v>
      </x:c>
      <x:c r="F283" s="15" t="n">
        <x:v>112156.403998</x:v>
      </x:c>
      <x:c r="G283" s="15" t="n">
        <x:v>-58.15164799999911</x:v>
      </x:c>
      <x:c r="H283" s="15" t="n">
        <x:v>147451.461065</x:v>
      </x:c>
      <x:c r="I283" s="15" t="n">
        <x:v>203500.58724000002</x:v>
      </x:c>
      <x:c r="J283" s="15" t="n">
        <x:v>7652.959035</x:v>
      </x:c>
      <x:c r="K283" s="15" t="n">
        <x:v>3694.076359</x:v>
      </x:c>
      <x:c r="L283" s="15" t="n">
        <x:v>11347.035394</x:v>
      </x:c>
      <x:c r="M283" s="15" t="n">
        <x:v>3958.8826759999997</x:v>
      </x:c>
      <x:c r="N283" s="15" t="n">
        <x:v>0.6595995288574695</x:v>
      </x:c>
      <x:c r="O283" s="15" t="n">
        <x:v>86785.44</x:v>
      </x:c>
      <x:c r="P283" s="15" t="n">
        <x:v>367767.4132</x:v>
      </x:c>
      <x:c r="Q283" s="15" t="n">
        <x:v>2758</x:v>
      </x:c>
      <x:c r="R283" s="15" t="n">
        <x:v>4.365172579544296</x:v>
      </x:c>
      <x:c r="S283" s="15" t="n">
        <x:v>0.16513328615238576</x:v>
      </x:c>
      <x:c r="T283" s="15" t="n">
        <x:v>-0.023557126030637754</x:v>
      </x:c>
      <x:c r="U283" s="15" t="n">
        <x:v>0.16470588235293349</x:v>
      </x:c>
    </x:row>
    <x:row r="284">
      <x:c r="A284" s="13" t="str">
        <x:v>all_360</x:v>
      </x:c>
      <x:c r="B284" s="36" t="n">
        <x:v>45933.5</x:v>
      </x:c>
      <x:c r="C284" s="36" t="n">
        <x:v>45933.583333333336</x:v>
      </x:c>
      <x:c r="D284" s="15" t="n">
        <x:v>71596.631269</x:v>
      </x:c>
      <x:c r="E284" s="15" t="n">
        <x:v>76600.841237</x:v>
      </x:c>
      <x:c r="F284" s="15" t="n">
        <x:v>148197.47250600002</x:v>
      </x:c>
      <x:c r="G284" s="15" t="n">
        <x:v>-5004.209967999996</x:v>
      </x:c>
      <x:c r="H284" s="15" t="n">
        <x:v>83936.699719</x:v>
      </x:c>
      <x:c r="I284" s="15" t="n">
        <x:v>155533.330988</x:v>
      </x:c>
      <x:c r="J284" s="15" t="n">
        <x:v>32308.421717</x:v>
      </x:c>
      <x:c r="K284" s="15" t="n">
        <x:v>15465.779654</x:v>
      </x:c>
      <x:c r="L284" s="15" t="n">
        <x:v>47774.201371</x:v>
      </x:c>
      <x:c r="M284" s="15" t="n">
        <x:v>16842.642063</x:v>
      </x:c>
      <x:c r="N284" s="15" t="n">
        <x:v>0.9933774834437044</x:v>
      </x:c>
      <x:c r="O284" s="15" t="n">
        <x:v>232617.88</x:v>
      </x:c>
      <x:c r="P284" s="15" t="n">
        <x:v>984855.49881</x:v>
      </x:c>
      <x:c r="Q284" s="15" t="n">
        <x:v>5501</x:v>
      </x:c>
      <x:c r="R284" s="15" t="n">
        <x:v>7.063208586216518</x:v>
      </x:c>
      <x:c r="S284" s="15" t="n">
        <x:v>0.1657589391427794</x:v>
      </x:c>
      <x:c r="T284" s="15" t="n">
        <x:v>0.028617340049075235</x:v>
      </x:c>
      <x:c r="U284" s="15" t="n">
        <x:v>0.16587677725117267</x:v>
      </x:c>
    </x:row>
    <x:row r="285">
      <x:c r="A285" s="13" t="str">
        <x:v>all_360</x:v>
      </x:c>
      <x:c r="B285" s="36" t="n">
        <x:v>45933.583333333336</x:v>
      </x:c>
      <x:c r="C285" s="36" t="n">
        <x:v>45933.666666666664</x:v>
      </x:c>
      <x:c r="D285" s="15" t="n">
        <x:v>156133.305695</x:v>
      </x:c>
      <x:c r="E285" s="15" t="n">
        <x:v>149022.101695</x:v>
      </x:c>
      <x:c r="F285" s="15" t="n">
        <x:v>305155.40738999995</x:v>
      </x:c>
      <x:c r="G285" s="15" t="n">
        <x:v>7111.203999999998</x:v>
      </x:c>
      <x:c r="H285" s="15" t="n">
        <x:v>131894.018145</x:v>
      </x:c>
      <x:c r="I285" s="15" t="n">
        <x:v>288027.32383999997</x:v>
      </x:c>
      <x:c r="J285" s="15" t="n">
        <x:v>29735.398295</x:v>
      </x:c>
      <x:c r="K285" s="15" t="n">
        <x:v>14700.213762</x:v>
      </x:c>
      <x:c r="L285" s="15" t="n">
        <x:v>44435.612057</x:v>
      </x:c>
      <x:c r="M285" s="15" t="n">
        <x:v>15035.184533</x:v>
      </x:c>
      <x:c r="N285" s="15" t="n">
        <x:v>2.716107699574854</x:v>
      </x:c>
      <x:c r="O285" s="15" t="n">
        <x:v>426618.14</x:v>
      </x:c>
      <x:c r="P285" s="15" t="n">
        <x:v>1810390.64741</x:v>
      </x:c>
      <x:c r="Q285" s="15" t="n">
        <x:v>7046</x:v>
      </x:c>
      <x:c r="R285" s="15" t="n">
        <x:v>9.17099107323278</x:v>
      </x:c>
      <x:c r="S285" s="15" t="n">
        <x:v>0.23640661938535423</x:v>
      </x:c>
      <x:c r="T285" s="15" t="n">
        <x:v>0.18921475875118832</x:v>
      </x:c>
      <x:c r="U285" s="15" t="n">
        <x:v>0.23640661938535423</x:v>
      </x:c>
    </x:row>
    <x:row r="286">
      <x:c r="A286" s="13" t="str">
        <x:v>all_360</x:v>
      </x:c>
      <x:c r="B286" s="36" t="n">
        <x:v>45933.666666666664</x:v>
      </x:c>
      <x:c r="C286" s="36" t="n">
        <x:v>45933.75</x:v>
      </x:c>
      <x:c r="D286" s="15" t="n">
        <x:v>59074.387024</x:v>
      </x:c>
      <x:c r="E286" s="15" t="n">
        <x:v>58834.377239</x:v>
      </x:c>
      <x:c r="F286" s="15" t="n">
        <x:v>117908.764263</x:v>
      </x:c>
      <x:c r="G286" s="15" t="n">
        <x:v>240.009785000002</x:v>
      </x:c>
      <x:c r="H286" s="15" t="n">
        <x:v>101632.663888</x:v>
      </x:c>
      <x:c r="I286" s="15" t="n">
        <x:v>160707.050912</x:v>
      </x:c>
      <x:c r="J286" s="15" t="n">
        <x:v>41588.899435</x:v>
      </x:c>
      <x:c r="K286" s="15" t="n">
        <x:v>33225.487492</x:v>
      </x:c>
      <x:c r="L286" s="15" t="n">
        <x:v>74814.386927</x:v>
      </x:c>
      <x:c r="M286" s="15" t="n">
        <x:v>8363.411943</x:v>
      </x:c>
      <x:c r="N286" s="15" t="n">
        <x:v>2.7635856943799295</x:v>
      </x:c>
      <x:c r="O286" s="15" t="n">
        <x:v>474844.51</x:v>
      </x:c>
      <x:c r="P286" s="15" t="n">
        <x:v>2042538.37829</x:v>
      </x:c>
      <x:c r="Q286" s="15" t="n">
        <x:v>12281</x:v>
      </x:c>
      <x:c r="R286" s="15" t="n">
        <x:v>14.195874035338818</x:v>
      </x:c>
      <x:c r="S286" s="15" t="n">
        <x:v>0.21092102179518513</x:v>
      </x:c>
      <x:c r="T286" s="15" t="n">
        <x:v>0.3177449462724691</x:v>
      </x:c>
      <x:c r="U286" s="15" t="n">
        <x:v>0.187090739008422</x:v>
      </x:c>
    </x:row>
    <x:row r="287">
      <x:c r="A287" s="13" t="str">
        <x:v>all_360</x:v>
      </x:c>
      <x:c r="B287" s="36" t="n">
        <x:v>45933.75</x:v>
      </x:c>
      <x:c r="C287" s="36" t="n">
        <x:v>45933.833333333336</x:v>
      </x:c>
      <x:c r="D287" s="15" t="n">
        <x:v>61314.47283</x:v>
      </x:c>
      <x:c r="E287" s="15" t="n">
        <x:v>61221.10725</x:v>
      </x:c>
      <x:c r="F287" s="15" t="n">
        <x:v>122535.58008</x:v>
      </x:c>
      <x:c r="G287" s="15" t="n">
        <x:v>93.36557999999786</x:v>
      </x:c>
      <x:c r="H287" s="15" t="n">
        <x:v>70662.223212</x:v>
      </x:c>
      <x:c r="I287" s="15" t="n">
        <x:v>131976.696042</x:v>
      </x:c>
      <x:c r="J287" s="15" t="n">
        <x:v>31768.053071000002</x:v>
      </x:c>
      <x:c r="K287" s="15" t="n">
        <x:v>14578.451707</x:v>
      </x:c>
      <x:c r="L287" s="15" t="n">
        <x:v>46346.504778</x:v>
      </x:c>
      <x:c r="M287" s="15" t="n">
        <x:v>17189.601364000002</x:v>
      </x:c>
      <x:c r="N287" s="15" t="n">
        <x:v>1.9253345855834665</x:v>
      </x:c>
      <x:c r="O287" s="15" t="n">
        <x:v>127876.46</x:v>
      </x:c>
      <x:c r="P287" s="15" t="n">
        <x:v>549457.93496</x:v>
      </x:c>
      <x:c r="Q287" s="15" t="n">
        <x:v>4046</x:v>
      </x:c>
      <x:c r="R287" s="15" t="n">
        <x:v>6.911646741570365</x:v>
      </x:c>
      <x:c r="S287" s="15" t="n">
        <x:v>0.2080924855491384</x:v>
      </x:c>
      <x:c r="T287" s="15" t="n">
        <x:v>0</x:v>
      </x:c>
      <x:c r="U287" s="15" t="n">
        <x:v>0.16362786348760316</x:v>
      </x:c>
    </x:row>
    <x:row r="288">
      <x:c r="A288" s="13" t="str">
        <x:v>all_360</x:v>
      </x:c>
      <x:c r="B288" s="36" t="n">
        <x:v>45933.833333333336</x:v>
      </x:c>
      <x:c r="C288" s="36" t="n">
        <x:v>45933.916666666664</x:v>
      </x:c>
      <x:c r="D288" s="15" t="n">
        <x:v>27703.510453</x:v>
      </x:c>
      <x:c r="E288" s="15" t="n">
        <x:v>34206.677742</x:v>
      </x:c>
      <x:c r="F288" s="15" t="n">
        <x:v>61910.188194999995</x:v>
      </x:c>
      <x:c r="G288" s="15" t="n">
        <x:v>-6503.167289000001</x:v>
      </x:c>
      <x:c r="H288" s="15" t="n">
        <x:v>107400.877164</x:v>
      </x:c>
      <x:c r="I288" s="15" t="n">
        <x:v>135104.387617</x:v>
      </x:c>
      <x:c r="J288" s="15" t="n">
        <x:v>13999.439549</x:v>
      </x:c>
      <x:c r="K288" s="15" t="n">
        <x:v>23901.385599</x:v>
      </x:c>
      <x:c r="L288" s="15" t="n">
        <x:v>37900.825148</x:v>
      </x:c>
      <x:c r="M288" s="15" t="n">
        <x:v>-9901.94605</x:v>
      </x:c>
      <x:c r="N288" s="15" t="n">
        <x:v>0.7190906982138849</x:v>
      </x:c>
      <x:c r="O288" s="15" t="n">
        <x:v>89314.8</x:v>
      </x:c>
      <x:c r="P288" s="15" t="n">
        <x:v>385030.74338</x:v>
      </x:c>
      <x:c r="Q288" s="15" t="n">
        <x:v>2630</x:v>
      </x:c>
      <x:c r="R288" s="15" t="n">
        <x:v>4.547153999897668</x:v>
      </x:c>
      <x:c r="S288" s="15" t="n">
        <x:v>0.23105360443624878</x:v>
      </x:c>
      <x:c r="T288" s="15" t="n">
        <x:v>0.009695571495693667</x:v>
      </x:c>
      <x:c r="U288" s="15" t="n">
        <x:v>0.11614401858304202</x:v>
      </x:c>
    </x:row>
    <x:row r="289">
      <x:c r="A289" s="13" t="str">
        <x:v>all_360</x:v>
      </x:c>
      <x:c r="B289" s="36" t="n">
        <x:v>45933.916666666664</x:v>
      </x:c>
      <x:c r="C289" s="36" t="n">
        <x:v>45934</x:v>
      </x:c>
      <x:c r="D289" s="15" t="n">
        <x:v>60292.095312</x:v>
      </x:c>
      <x:c r="E289" s="15" t="n">
        <x:v>46574.311538</x:v>
      </x:c>
      <x:c r="F289" s="15" t="n">
        <x:v>106866.40685</x:v>
      </x:c>
      <x:c r="G289" s="15" t="n">
        <x:v>13717.783773999996</x:v>
      </x:c>
      <x:c r="H289" s="15" t="n">
        <x:v>712590.777441</x:v>
      </x:c>
      <x:c r="I289" s="15" t="n">
        <x:v>772882.872753</x:v>
      </x:c>
      <x:c r="J289" s="15" t="n">
        <x:v>24254.803445999998</x:v>
      </x:c>
      <x:c r="K289" s="15" t="n">
        <x:v>19083.037916</x:v>
      </x:c>
      <x:c r="L289" s="15" t="n">
        <x:v>43337.841362</x:v>
      </x:c>
      <x:c r="M289" s="15" t="n">
        <x:v>5171.765529999997</x:v>
      </x:c>
      <x:c r="N289" s="15" t="n">
        <x:v>0.8366256100394978</x:v>
      </x:c>
      <x:c r="O289" s="15" t="n">
        <x:v>92488.39</x:v>
      </x:c>
      <x:c r="P289" s="15" t="n">
        <x:v>397298.33444</x:v>
      </x:c>
      <x:c r="Q289" s="15" t="n">
        <x:v>1827</x:v>
      </x:c>
      <x:c r="R289" s="15" t="n">
        <x:v>3.979912768521676</x:v>
      </x:c>
      <x:c r="S289" s="15" t="n">
        <x:v>0.16309412861136297</x:v>
      </x:c>
      <x:c r="T289" s="15" t="n">
        <x:v>0.008227144729422431</x:v>
      </x:c>
      <x:c r="U289" s="15" t="n">
        <x:v>0.1392434439545176</x:v>
      </x:c>
    </x:row>
    <x:row r="290">
      <x:c r="A290" s="13" t="str">
        <x:v>all_360</x:v>
      </x:c>
      <x:c r="B290" s="36" t="n">
        <x:v>45934</x:v>
      </x:c>
      <x:c r="C290" s="36" t="n">
        <x:v>45934.083333333336</x:v>
      </x:c>
      <x:c r="D290" s="15" t="n">
        <x:v>38388.37209</x:v>
      </x:c>
      <x:c r="E290" s="15" t="n">
        <x:v>37129.191424</x:v>
      </x:c>
      <x:c r="F290" s="15" t="n">
        <x:v>75517.563514</x:v>
      </x:c>
      <x:c r="G290" s="15" t="n">
        <x:v>1259.1806660000002</x:v>
      </x:c>
      <x:c r="H290" s="15" t="n">
        <x:v>110192.04127</x:v>
      </x:c>
      <x:c r="I290" s="15" t="n">
        <x:v>148580.41336</x:v>
      </x:c>
      <x:c r="J290" s="15" t="n">
        <x:v>26100.570715</x:v>
      </x:c>
      <x:c r="K290" s="15" t="n">
        <x:v>26107.176071</x:v>
      </x:c>
      <x:c r="L290" s="15" t="n">
        <x:v>52207.746786</x:v>
      </x:c>
      <x:c r="M290" s="15" t="n">
        <x:v>-6.605356000000029</x:v>
      </x:c>
      <x:c r="N290" s="15" t="n">
        <x:v>1.4018691588785164</x:v>
      </x:c>
      <x:c r="O290" s="15" t="n">
        <x:v>100670.53</x:v>
      </x:c>
      <x:c r="P290" s="15" t="n">
        <x:v>429085.96717</x:v>
      </x:c>
      <x:c r="Q290" s="15" t="n">
        <x:v>2514</x:v>
      </x:c>
      <x:c r="R290" s="15" t="n">
        <x:v>5.534128569123942</x:v>
      </x:c>
      <x:c r="S290" s="15" t="n">
        <x:v>0.18761726078799779</x:v>
      </x:c>
      <x:c r="T290" s="15" t="n">
        <x:v>0.017547437251352882</x:v>
      </x:c>
      <x:c r="U290" s="15" t="n">
        <x:v>0.09436187780136329</x:v>
      </x:c>
    </x:row>
    <x:row r="291">
      <x:c r="A291" s="13" t="str">
        <x:v>all_360</x:v>
      </x:c>
      <x:c r="B291" s="36" t="n">
        <x:v>45934.083333333336</x:v>
      </x:c>
      <x:c r="C291" s="36" t="n">
        <x:v>45934.166666666664</x:v>
      </x:c>
      <x:c r="D291" s="15" t="n">
        <x:v>36707.94025</x:v>
      </x:c>
      <x:c r="E291" s="15" t="n">
        <x:v>35639.471042</x:v>
      </x:c>
      <x:c r="F291" s="15" t="n">
        <x:v>72347.411292</x:v>
      </x:c>
      <x:c r="G291" s="15" t="n">
        <x:v>1068.4692080000023</x:v>
      </x:c>
      <x:c r="H291" s="15" t="n">
        <x:v>97950.91830599999</x:v>
      </x:c>
      <x:c r="I291" s="15" t="n">
        <x:v>134658.858556</x:v>
      </x:c>
      <x:c r="J291" s="15" t="n">
        <x:v>4246.459076</x:v>
      </x:c>
      <x:c r="K291" s="15" t="n">
        <x:v>11994.700996</x:v>
      </x:c>
      <x:c r="L291" s="15" t="n">
        <x:v>16241.160071999999</x:v>
      </x:c>
      <x:c r="M291" s="15" t="n">
        <x:v>-7748.2419199999995</x:v>
      </x:c>
      <x:c r="N291" s="15" t="n">
        <x:v>0.9665252239509543</x:v>
      </x:c>
      <x:c r="O291" s="15" t="n">
        <x:v>75998.32</x:v>
      </x:c>
      <x:c r="P291" s="15" t="n">
        <x:v>321427.02465</x:v>
      </x:c>
      <x:c r="Q291" s="15" t="n">
        <x:v>2194</x:v>
      </x:c>
      <x:c r="R291" s="15" t="n">
        <x:v>5.151046336101062</x:v>
      </x:c>
      <x:c r="S291" s="15" t="n">
        <x:v>0.165798199905276</x:v>
      </x:c>
      <x:c r="T291" s="15" t="n">
        <x:v>0.0016910225403177215</x:v>
      </x:c>
      <x:c r="U291" s="15" t="n">
        <x:v>0.14170996693434468</x:v>
      </x:c>
    </x:row>
    <x:row r="292">
      <x:c r="A292" s="13" t="str">
        <x:v>all_360</x:v>
      </x:c>
      <x:c r="B292" s="36" t="n">
        <x:v>45934.166666666664</x:v>
      </x:c>
      <x:c r="C292" s="36" t="n">
        <x:v>45934.25</x:v>
      </x:c>
      <x:c r="D292" s="15" t="n">
        <x:v>31780.116394</x:v>
      </x:c>
      <x:c r="E292" s="15" t="n">
        <x:v>33528.663492</x:v>
      </x:c>
      <x:c r="F292" s="15" t="n">
        <x:v>65308.779886000004</x:v>
      </x:c>
      <x:c r="G292" s="15" t="n">
        <x:v>-1748.547097999999</x:v>
      </x:c>
      <x:c r="H292" s="15" t="n">
        <x:v>61818.615388</x:v>
      </x:c>
      <x:c r="I292" s="15" t="n">
        <x:v>93598.731782</x:v>
      </x:c>
      <x:c r="J292" s="15" t="n">
        <x:v>8595.853187</x:v>
      </x:c>
      <x:c r="K292" s="15" t="n">
        <x:v>12726.156925</x:v>
      </x:c>
      <x:c r="L292" s="15" t="n">
        <x:v>21322.010112</x:v>
      </x:c>
      <x:c r="M292" s="15" t="n">
        <x:v>-4130.303737999999</x:v>
      </x:c>
      <x:c r="N292" s="15" t="n">
        <x:v>0.6150934468890419</x:v>
      </x:c>
      <x:c r="O292" s="15" t="n">
        <x:v>75821.81</x:v>
      </x:c>
      <x:c r="P292" s="15" t="n">
        <x:v>319979.95900000003</x:v>
      </x:c>
      <x:c r="Q292" s="15" t="n">
        <x:v>1890</x:v>
      </x:c>
      <x:c r="R292" s="15" t="n">
        <x:v>4.477342470077539</x:v>
      </x:c>
      <x:c r="S292" s="15" t="n">
        <x:v>0.18957345971564177</x:v>
      </x:c>
      <x:c r="T292" s="15" t="n">
        <x:v>0.02218434966597682</x:v>
      </x:c>
      <x:c r="U292" s="15" t="n">
        <x:v>0.11814744801511567</x:v>
      </x:c>
    </x:row>
    <x:row r="293">
      <x:c r="A293" s="13" t="str">
        <x:v>all_360</x:v>
      </x:c>
      <x:c r="B293" s="36" t="n">
        <x:v>45934.25</x:v>
      </x:c>
      <x:c r="C293" s="36" t="n">
        <x:v>45934.333333333336</x:v>
      </x:c>
      <x:c r="D293" s="15" t="n">
        <x:v>31585.68493</x:v>
      </x:c>
      <x:c r="E293" s="15" t="n">
        <x:v>37262.188903</x:v>
      </x:c>
      <x:c r="F293" s="15" t="n">
        <x:v>68847.873833</x:v>
      </x:c>
      <x:c r="G293" s="15" t="n">
        <x:v>-5676.503973000003</x:v>
      </x:c>
      <x:c r="H293" s="15" t="n">
        <x:v>47657.928471</x:v>
      </x:c>
      <x:c r="I293" s="15" t="n">
        <x:v>79243.613401</x:v>
      </x:c>
      <x:c r="J293" s="15" t="n">
        <x:v>8152.494927</x:v>
      </x:c>
      <x:c r="K293" s="15" t="n">
        <x:v>14311.759638</x:v>
      </x:c>
      <x:c r="L293" s="15" t="n">
        <x:v>22464.254565</x:v>
      </x:c>
      <x:c r="M293" s="15" t="n">
        <x:v>-6159.264711</x:v>
      </x:c>
      <x:c r="N293" s="15" t="n">
        <x:v>0.9945536348567325</x:v>
      </x:c>
      <x:c r="O293" s="15" t="n">
        <x:v>114776.4</x:v>
      </x:c>
      <x:c r="P293" s="15" t="n">
        <x:v>483710.5971</x:v>
      </x:c>
      <x:c r="Q293" s="15" t="n">
        <x:v>2378</x:v>
      </x:c>
      <x:c r="R293" s="15" t="n">
        <x:v>5.284868154190159</x:v>
      </x:c>
      <x:c r="S293" s="15" t="n">
        <x:v>0.18899125915426973</x:v>
      </x:c>
      <x:c r="T293" s="15" t="n">
        <x:v>0</x:v>
      </x:c>
      <x:c r="U293" s="15" t="n">
        <x:v>0.11834319526626835</x:v>
      </x:c>
    </x:row>
    <x:row r="294">
      <x:c r="A294" s="13" t="str">
        <x:v>all_360</x:v>
      </x:c>
      <x:c r="B294" s="36" t="n">
        <x:v>45934.333333333336</x:v>
      </x:c>
      <x:c r="C294" s="36" t="n">
        <x:v>45934.416666666664</x:v>
      </x:c>
      <x:c r="D294" s="15" t="n">
        <x:v>14104.815966</x:v>
      </x:c>
      <x:c r="E294" s="15" t="n">
        <x:v>12839.709535</x:v>
      </x:c>
      <x:c r="F294" s="15" t="n">
        <x:v>26944.525501</x:v>
      </x:c>
      <x:c r="G294" s="15" t="n">
        <x:v>1265.1064310000002</x:v>
      </x:c>
      <x:c r="H294" s="15" t="n">
        <x:v>486916.56714700005</x:v>
      </x:c>
      <x:c r="I294" s="15" t="n">
        <x:v>501021.3831130001</x:v>
      </x:c>
      <x:c r="J294" s="15" t="n">
        <x:v>14003.591267</x:v>
      </x:c>
      <x:c r="K294" s="15" t="n">
        <x:v>21902.628726</x:v>
      </x:c>
      <x:c r="L294" s="15" t="n">
        <x:v>35906.219993</x:v>
      </x:c>
      <x:c r="M294" s="15" t="n">
        <x:v>-7899.037458999999</x:v>
      </x:c>
      <x:c r="N294" s="15" t="n">
        <x:v>1.7610661589719356</x:v>
      </x:c>
      <x:c r="O294" s="15" t="n">
        <x:v>197876.02</x:v>
      </x:c>
      <x:c r="P294" s="15" t="n">
        <x:v>823592.79044</x:v>
      </x:c>
      <x:c r="Q294" s="15" t="n">
        <x:v>4413</x:v>
      </x:c>
      <x:c r="R294" s="15" t="n">
        <x:v>6.043486584994562</x:v>
      </x:c>
      <x:c r="S294" s="15" t="n">
        <x:v>0.16650808753567725</x:v>
      </x:c>
      <x:c r="T294" s="15" t="n">
        <x:v>0.05678464493298341</x:v>
      </x:c>
      <x:c r="U294" s="15" t="n">
        <x:v>0.14398848092153083</x:v>
      </x:c>
    </x:row>
    <x:row r="295">
      <x:c r="A295" s="13" t="str">
        <x:v>all_360</x:v>
      </x:c>
      <x:c r="B295" s="36" t="n">
        <x:v>45934.416666666664</x:v>
      </x:c>
      <x:c r="C295" s="36" t="n">
        <x:v>45934.5</x:v>
      </x:c>
      <x:c r="D295" s="15" t="n">
        <x:v>126566.574659</x:v>
      </x:c>
      <x:c r="E295" s="15" t="n">
        <x:v>117905.871661</x:v>
      </x:c>
      <x:c r="F295" s="15" t="n">
        <x:v>244472.44632</x:v>
      </x:c>
      <x:c r="G295" s="15" t="n">
        <x:v>8660.702998000008</x:v>
      </x:c>
      <x:c r="H295" s="15" t="n">
        <x:v>220154.966131</x:v>
      </x:c>
      <x:c r="I295" s="15" t="n">
        <x:v>346721.54079</x:v>
      </x:c>
      <x:c r="J295" s="15" t="n">
        <x:v>17440.306183</x:v>
      </x:c>
      <x:c r="K295" s="15" t="n">
        <x:v>13756.225231</x:v>
      </x:c>
      <x:c r="L295" s="15" t="n">
        <x:v>31196.531414</x:v>
      </x:c>
      <x:c r="M295" s="15" t="n">
        <x:v>3684.0809520000003</x:v>
      </x:c>
      <x:c r="N295" s="15" t="n">
        <x:v>0.8222490931076134</x:v>
      </x:c>
      <x:c r="O295" s="15" t="n">
        <x:v>140433.73</x:v>
      </x:c>
      <x:c r="P295" s="15" t="n">
        <x:v>581073.96004</x:v>
      </x:c>
      <x:c r="Q295" s="15" t="n">
        <x:v>3689</x:v>
      </x:c>
      <x:c r="R295" s="15" t="n">
        <x:v>6.016854729979548</x:v>
      </x:c>
      <x:c r="S295" s="15" t="n">
        <x:v>0.16932752781810834</x:v>
      </x:c>
      <x:c r="T295" s="15" t="n">
        <x:v>0</x:v>
      </x:c>
      <x:c r="U295" s="15" t="n">
        <x:v>0.12097749818533732</x:v>
      </x:c>
    </x:row>
    <x:row r="296">
      <x:c r="A296" s="13" t="str">
        <x:v>all_360</x:v>
      </x:c>
      <x:c r="B296" s="36" t="n">
        <x:v>45934.5</x:v>
      </x:c>
      <x:c r="C296" s="36" t="n">
        <x:v>45934.583333333336</x:v>
      </x:c>
      <x:c r="D296" s="15" t="n">
        <x:v>30677.21215</x:v>
      </x:c>
      <x:c r="E296" s="15" t="n">
        <x:v>30617.450026</x:v>
      </x:c>
      <x:c r="F296" s="15" t="n">
        <x:v>61294.662176</x:v>
      </x:c>
      <x:c r="G296" s="15" t="n">
        <x:v>59.76212400000077</x:v>
      </x:c>
      <x:c r="H296" s="15" t="n">
        <x:v>109606.596689</x:v>
      </x:c>
      <x:c r="I296" s="15" t="n">
        <x:v>140283.808839</x:v>
      </x:c>
      <x:c r="J296" s="15" t="n">
        <x:v>24042.711018</x:v>
      </x:c>
      <x:c r="K296" s="15" t="n">
        <x:v>10454.13096</x:v>
      </x:c>
      <x:c r="L296" s="15" t="n">
        <x:v>34496.841978000004</x:v>
      </x:c>
      <x:c r="M296" s="15" t="n">
        <x:v>13588.580058000001</x:v>
      </x:c>
      <x:c r="N296" s="15" t="n">
        <x:v>0.8704061895551156</x:v>
      </x:c>
      <x:c r="O296" s="15" t="n">
        <x:v>137091.42</x:v>
      </x:c>
      <x:c r="P296" s="15" t="n">
        <x:v>567413.15691</x:v>
      </x:c>
      <x:c r="Q296" s="15" t="n">
        <x:v>2988</x:v>
      </x:c>
      <x:c r="R296" s="15" t="n">
        <x:v>4.997904161586142</x:v>
      </x:c>
      <x:c r="S296" s="15" t="n">
        <x:v>0.265828902851617</x:v>
      </x:c>
      <x:c r="T296" s="15" t="n">
        <x:v>0.1210067763794731</x:v>
      </x:c>
      <x:c r="U296" s="15" t="n">
        <x:v>0.2417210539037873</x:v>
      </x:c>
    </x:row>
    <x:row r="297">
      <x:c r="A297" s="13" t="str">
        <x:v>all_360</x:v>
      </x:c>
      <x:c r="B297" s="36" t="n">
        <x:v>45934.583333333336</x:v>
      </x:c>
      <x:c r="C297" s="36" t="n">
        <x:v>45934.666666666664</x:v>
      </x:c>
      <x:c r="D297" s="15" t="n">
        <x:v>48200.878437</x:v>
      </x:c>
      <x:c r="E297" s="15" t="n">
        <x:v>45291.703245000004</x:v>
      </x:c>
      <x:c r="F297" s="15" t="n">
        <x:v>93492.581682</x:v>
      </x:c>
      <x:c r="G297" s="15" t="n">
        <x:v>2909.175191999995</x:v>
      </x:c>
      <x:c r="H297" s="15" t="n">
        <x:v>160985.604049</x:v>
      </x:c>
      <x:c r="I297" s="15" t="n">
        <x:v>209186.482486</x:v>
      </x:c>
      <x:c r="J297" s="15" t="n">
        <x:v>15692.605073</x:v>
      </x:c>
      <x:c r="K297" s="15" t="n">
        <x:v>44506.542029</x:v>
      </x:c>
      <x:c r="L297" s="15" t="n">
        <x:v>60199.147101999995</x:v>
      </x:c>
      <x:c r="M297" s="15" t="n">
        <x:v>-28813.936955999998</x:v>
      </x:c>
      <x:c r="N297" s="15" t="n">
        <x:v>1.4983083615272932</x:v>
      </x:c>
      <x:c r="O297" s="15" t="n">
        <x:v>203063.61</x:v>
      </x:c>
      <x:c r="P297" s="15" t="n">
        <x:v>835634.2755699999</x:v>
      </x:c>
      <x:c r="Q297" s="15" t="n">
        <x:v>4853</x:v>
      </x:c>
      <x:c r="R297" s="15" t="n">
        <x:v>6.899169311460418</x:v>
      </x:c>
      <x:c r="S297" s="15" t="n">
        <x:v>0.19497928345113547</x:v>
      </x:c>
      <x:c r="T297" s="15" t="n">
        <x:v>-0.020229749971711897</x:v>
      </x:c>
      <x:c r="U297" s="15" t="n">
        <x:v>0.14641288433382416</x:v>
      </x:c>
    </x:row>
    <x:row r="298">
      <x:c r="A298" s="13" t="str">
        <x:v>all_360</x:v>
      </x:c>
      <x:c r="B298" s="36" t="n">
        <x:v>45934.666666666664</x:v>
      </x:c>
      <x:c r="C298" s="36" t="n">
        <x:v>45934.75</x:v>
      </x:c>
      <x:c r="D298" s="15" t="n">
        <x:v>268866.848274</x:v>
      </x:c>
      <x:c r="E298" s="15" t="n">
        <x:v>268137.065736</x:v>
      </x:c>
      <x:c r="F298" s="15" t="n">
        <x:v>537003.91401</x:v>
      </x:c>
      <x:c r="G298" s="15" t="n">
        <x:v>729.7825379999704</x:v>
      </x:c>
      <x:c r="H298" s="15" t="n">
        <x:v>117670.103155</x:v>
      </x:c>
      <x:c r="I298" s="15" t="n">
        <x:v>386536.951429</x:v>
      </x:c>
      <x:c r="J298" s="15" t="n">
        <x:v>6896.752437</x:v>
      </x:c>
      <x:c r="K298" s="15" t="n">
        <x:v>3819.006813</x:v>
      </x:c>
      <x:c r="L298" s="15" t="n">
        <x:v>10715.75925</x:v>
      </x:c>
      <x:c r="M298" s="15" t="n">
        <x:v>3077.745624</x:v>
      </x:c>
      <x:c r="N298" s="15" t="n">
        <x:v>0.853242320819116</x:v>
      </x:c>
      <x:c r="O298" s="15" t="n">
        <x:v>107590.59</x:v>
      </x:c>
      <x:c r="P298" s="15" t="n">
        <x:v>441871.89586</x:v>
      </x:c>
      <x:c r="Q298" s="15" t="n">
        <x:v>2575</x:v>
      </x:c>
      <x:c r="R298" s="15" t="n">
        <x:v>4.967562052192798</x:v>
      </x:c>
      <x:c r="S298" s="15" t="n">
        <x:v>0.21913805697589828</x:v>
      </x:c>
      <x:c r="T298" s="15" t="n">
        <x:v>-0.01809092744737839</x:v>
      </x:c>
      <x:c r="U298" s="15" t="n">
        <x:v>0.17056530214424326</x:v>
      </x:c>
    </x:row>
    <x:row r="299">
      <x:c r="A299" s="13" t="str">
        <x:v>all_360</x:v>
      </x:c>
      <x:c r="B299" s="36" t="n">
        <x:v>45934.75</x:v>
      </x:c>
      <x:c r="C299" s="36" t="n">
        <x:v>45934.833333333336</x:v>
      </x:c>
      <x:c r="D299" s="15" t="n">
        <x:v>34203.336809</x:v>
      </x:c>
      <x:c r="E299" s="15" t="n">
        <x:v>32896.435069</x:v>
      </x:c>
      <x:c r="F299" s="15" t="n">
        <x:v>67099.771878</x:v>
      </x:c>
      <x:c r="G299" s="15" t="n">
        <x:v>1306.9017400000012</x:v>
      </x:c>
      <x:c r="H299" s="15" t="n">
        <x:v>294898.52228699997</x:v>
      </x:c>
      <x:c r="I299" s="15" t="n">
        <x:v>329101.859096</x:v>
      </x:c>
      <x:c r="J299" s="15" t="n">
        <x:v>9346.120263</x:v>
      </x:c>
      <x:c r="K299" s="15" t="n">
        <x:v>14435.414315</x:v>
      </x:c>
      <x:c r="L299" s="15" t="n">
        <x:v>23781.534578</x:v>
      </x:c>
      <x:c r="M299" s="15" t="n">
        <x:v>-5089.294051999999</x:v>
      </x:c>
      <x:c r="N299" s="15" t="n">
        <x:v>0.4619499149039661</x:v>
      </x:c>
      <x:c r="O299" s="15" t="n">
        <x:v>78710.23</x:v>
      </x:c>
      <x:c r="P299" s="15" t="n">
        <x:v>323534.8</x:v>
      </x:c>
      <x:c r="Q299" s="15" t="n">
        <x:v>1701</x:v>
      </x:c>
      <x:c r="R299" s="15" t="n">
        <x:v>3.7219950730009943</x:v>
      </x:c>
      <x:c r="S299" s="15" t="n">
        <x:v>0.17031630170317724</x:v>
      </x:c>
      <x:c r="T299" s="15" t="n">
        <x:v>0.025944035054659143</x:v>
      </x:c>
      <x:c r="U299" s="15" t="n">
        <x:v>0.17031630170317724</x:v>
      </x:c>
    </x:row>
    <x:row r="300">
      <x:c r="A300" s="13" t="str">
        <x:v>all_360</x:v>
      </x:c>
      <x:c r="B300" s="36" t="n">
        <x:v>45934.833333333336</x:v>
      </x:c>
      <x:c r="C300" s="36" t="n">
        <x:v>45934.916666666664</x:v>
      </x:c>
      <x:c r="D300" s="15" t="n">
        <x:v>13406.233088</x:v>
      </x:c>
      <x:c r="E300" s="15" t="n">
        <x:v>9182.36678</x:v>
      </x:c>
      <x:c r="F300" s="15" t="n">
        <x:v>22588.599868</x:v>
      </x:c>
      <x:c r="G300" s="15" t="n">
        <x:v>4223.866308000001</x:v>
      </x:c>
      <x:c r="H300" s="15" t="n">
        <x:v>133397.990461</x:v>
      </x:c>
      <x:c r="I300" s="15" t="n">
        <x:v>146804.22354900002</x:v>
      </x:c>
      <x:c r="J300" s="15" t="n">
        <x:v>23715.854431</x:v>
      </x:c>
      <x:c r="K300" s="15" t="n">
        <x:v>20850.254831</x:v>
      </x:c>
      <x:c r="L300" s="15" t="n">
        <x:v>44566.109262</x:v>
      </x:c>
      <x:c r="M300" s="15" t="n">
        <x:v>2865.5996000000014</x:v>
      </x:c>
      <x:c r="N300" s="15" t="n">
        <x:v>0.6072382803011773</x:v>
      </x:c>
      <x:c r="O300" s="15" t="n">
        <x:v>56697.1</x:v>
      </x:c>
      <x:c r="P300" s="15" t="n">
        <x:v>233916.1867</x:v>
      </x:c>
      <x:c r="Q300" s="15" t="n">
        <x:v>1400</x:v>
      </x:c>
      <x:c r="R300" s="15" t="n">
        <x:v>3.5141284346144497</x:v>
      </x:c>
      <x:c r="S300" s="15" t="n">
        <x:v>0.21791767554477648</x:v>
      </x:c>
      <x:c r="T300" s="15" t="n">
        <x:v>-0.024289531212051685</x:v>
      </x:c>
      <x:c r="U300" s="15" t="n">
        <x:v>0.16965584100825382</x:v>
      </x:c>
    </x:row>
    <x:row r="301">
      <x:c r="A301" s="13" t="str">
        <x:v>all_360</x:v>
      </x:c>
      <x:c r="B301" s="36" t="n">
        <x:v>45934.916666666664</x:v>
      </x:c>
      <x:c r="C301" s="36" t="n">
        <x:v>45935</x:v>
      </x:c>
      <x:c r="D301" s="15" t="n">
        <x:v>10362.252665</x:v>
      </x:c>
      <x:c r="E301" s="15" t="n">
        <x:v>9381.793179</x:v>
      </x:c>
      <x:c r="F301" s="15" t="n">
        <x:v>19744.045844</x:v>
      </x:c>
      <x:c r="G301" s="15" t="n">
        <x:v>980.4594859999997</x:v>
      </x:c>
      <x:c r="H301" s="15" t="n">
        <x:v>42826.993954</x:v>
      </x:c>
      <x:c r="I301" s="15" t="n">
        <x:v>53189.246619</x:v>
      </x:c>
      <x:c r="J301" s="15" t="n">
        <x:v>3301.178759</x:v>
      </x:c>
      <x:c r="K301" s="15" t="n">
        <x:v>4012.894284</x:v>
      </x:c>
      <x:c r="L301" s="15" t="n">
        <x:v>7314.073043</x:v>
      </x:c>
      <x:c r="M301" s="15" t="n">
        <x:v>-711.7155250000001</x:v>
      </x:c>
      <x:c r="N301" s="15" t="n">
        <x:v>0.5087209302325559</x:v>
      </x:c>
      <x:c r="O301" s="15" t="n">
        <x:v>69837.1</x:v>
      </x:c>
      <x:c r="P301" s="15" t="n">
        <x:v>288789.28115</x:v>
      </x:c>
      <x:c r="Q301" s="15" t="n">
        <x:v>1397</x:v>
      </x:c>
      <x:c r="R301" s="15" t="n">
        <x:v>3.265375668572146</x:v>
      </x:c>
      <x:c r="S301" s="15" t="n">
        <x:v>0.12086052695189364</x:v>
      </x:c>
      <x:c r="T301" s="15" t="n">
        <x:v>-0.009681479330048148</x:v>
      </x:c>
      <x:c r="U301" s="15" t="n">
        <x:v>0.14513788098694524</x:v>
      </x:c>
    </x:row>
    <x:row r="302">
      <x:c r="A302" s="13" t="str">
        <x:v>all_360</x:v>
      </x:c>
      <x:c r="B302" s="36" t="n">
        <x:v>45935</x:v>
      </x:c>
      <x:c r="C302" s="36" t="n">
        <x:v>45935.083333333336</x:v>
      </x:c>
      <x:c r="D302" s="15" t="n">
        <x:v>19667.232219</x:v>
      </x:c>
      <x:c r="E302" s="15" t="n">
        <x:v>24603.557299</x:v>
      </x:c>
      <x:c r="F302" s="15" t="n">
        <x:v>44270.789518000005</x:v>
      </x:c>
      <x:c r="G302" s="15" t="n">
        <x:v>-4936.325079999999</x:v>
      </x:c>
      <x:c r="H302" s="15" t="n">
        <x:v>92578.977908</x:v>
      </x:c>
      <x:c r="I302" s="15" t="n">
        <x:v>112246.210127</x:v>
      </x:c>
      <x:c r="J302" s="15" t="n">
        <x:v>3534.170104</x:v>
      </x:c>
      <x:c r="K302" s="15" t="n">
        <x:v>2848.646104</x:v>
      </x:c>
      <x:c r="L302" s="15" t="n">
        <x:v>6382.816208</x:v>
      </x:c>
      <x:c r="M302" s="15" t="n">
        <x:v>685.5239999999999</x:v>
      </x:c>
      <x:c r="N302" s="15" t="n">
        <x:v>0.8220502901353918</x:v>
      </x:c>
      <x:c r="O302" s="15" t="n">
        <x:v>58521.3</x:v>
      </x:c>
      <x:c r="P302" s="15" t="n">
        <x:v>241735.48704</x:v>
      </x:c>
      <x:c r="Q302" s="15" t="n">
        <x:v>1488</x:v>
      </x:c>
      <x:c r="R302" s="15" t="n">
        <x:v>4.239498928017205</x:v>
      </x:c>
      <x:c r="S302" s="15" t="n">
        <x:v>0.16965584100825382</x:v>
      </x:c>
      <x:c r="T302" s="15" t="n">
        <x:v>-0.033818386528117195</x:v>
      </x:c>
      <x:c r="U302" s="15" t="n">
        <x:v>0.12130033964095066</x:v>
      </x:c>
    </x:row>
    <x:row r="303">
      <x:c r="A303" s="13" t="str">
        <x:v>all_360</x:v>
      </x:c>
      <x:c r="B303" s="36" t="n">
        <x:v>45935.083333333336</x:v>
      </x:c>
      <x:c r="C303" s="36" t="n">
        <x:v>45935.166666666664</x:v>
      </x:c>
      <x:c r="D303" s="15" t="n">
        <x:v>14961.828279</x:v>
      </x:c>
      <x:c r="E303" s="15" t="n">
        <x:v>15951.563127</x:v>
      </x:c>
      <x:c r="F303" s="15" t="n">
        <x:v>30913.391406</x:v>
      </x:c>
      <x:c r="G303" s="15" t="n">
        <x:v>-989.734848</x:v>
      </x:c>
      <x:c r="H303" s="15" t="n">
        <x:v>104191.409824</x:v>
      </x:c>
      <x:c r="I303" s="15" t="n">
        <x:v>119153.238103</x:v>
      </x:c>
      <x:c r="J303" s="15" t="n">
        <x:v>18393.86652</x:v>
      </x:c>
      <x:c r="K303" s="15" t="n">
        <x:v>3252.054185</x:v>
      </x:c>
      <x:c r="L303" s="15" t="n">
        <x:v>21645.920705</x:v>
      </x:c>
      <x:c r="M303" s="15" t="n">
        <x:v>15141.812334999999</x:v>
      </x:c>
      <x:c r="N303" s="15" t="n">
        <x:v>1.7671266037279205</x:v>
      </x:c>
      <x:c r="O303" s="15" t="n">
        <x:v>206088.88999999998</x:v>
      </x:c>
      <x:c r="P303" s="15" t="n">
        <x:v>857068.57405</x:v>
      </x:c>
      <x:c r="Q303" s="15" t="n">
        <x:v>4353</x:v>
      </x:c>
      <x:c r="R303" s="15" t="n">
        <x:v>6.320309301259908</x:v>
      </x:c>
      <x:c r="S303" s="15" t="n">
        <x:v>0.2391200382592218</x:v>
      </x:c>
      <x:c r="T303" s="15" t="n">
        <x:v>0.02428363283147883</x:v>
      </x:c>
      <x:c r="U303" s="15" t="n">
        <x:v>0.16839066634591893</x:v>
      </x:c>
    </x:row>
    <x:row r="304">
      <x:c r="A304" s="13" t="str">
        <x:v>all_360</x:v>
      </x:c>
      <x:c r="B304" s="36" t="n">
        <x:v>45935.166666666664</x:v>
      </x:c>
      <x:c r="C304" s="36" t="n">
        <x:v>45935.25</x:v>
      </x:c>
      <x:c r="D304" s="15" t="n">
        <x:v>11841.303101</x:v>
      </x:c>
      <x:c r="E304" s="15" t="n">
        <x:v>12744.122519999999</x:v>
      </x:c>
      <x:c r="F304" s="15" t="n">
        <x:v>24585.425621</x:v>
      </x:c>
      <x:c r="G304" s="15" t="n">
        <x:v>-902.8194189999995</x:v>
      </x:c>
      <x:c r="H304" s="15" t="n">
        <x:v>83622.767638</x:v>
      </x:c>
      <x:c r="I304" s="15" t="n">
        <x:v>95464.070739</x:v>
      </x:c>
      <x:c r="J304" s="15" t="n">
        <x:v>16859.201911</x:v>
      </x:c>
      <x:c r="K304" s="15" t="n">
        <x:v>6856.452449</x:v>
      </x:c>
      <x:c r="L304" s="15" t="n">
        <x:v>23715.65436</x:v>
      </x:c>
      <x:c r="M304" s="15" t="n">
        <x:v>10002.749462</x:v>
      </x:c>
      <x:c r="N304" s="15" t="n">
        <x:v>1.775005996641877</x:v>
      </x:c>
      <x:c r="O304" s="15" t="n">
        <x:v>303488.8</x:v>
      </x:c>
      <x:c r="P304" s="15" t="n">
        <x:v>1274673.50626</x:v>
      </x:c>
      <x:c r="Q304" s="15" t="n">
        <x:v>5465</x:v>
      </x:c>
      <x:c r="R304" s="15" t="n">
        <x:v>6.702892055668785</x:v>
      </x:c>
      <x:c r="S304" s="15" t="n">
        <x:v>0.6427041180671056</x:v>
      </x:c>
      <x:c r="T304" s="15" t="n">
        <x:v>0.6378904602395763</x:v>
      </x:c>
      <x:c r="U304" s="15" t="n">
        <x:v>0.6427041180671056</x:v>
      </x:c>
    </x:row>
    <x:row r="305">
      <x:c r="A305" s="13" t="str">
        <x:v>all_360</x:v>
      </x:c>
      <x:c r="B305" s="36" t="n">
        <x:v>45935.25</x:v>
      </x:c>
      <x:c r="C305" s="36" t="n">
        <x:v>45935.333333333336</x:v>
      </x:c>
      <x:c r="D305" s="15" t="n">
        <x:v>22788.595766</x:v>
      </x:c>
      <x:c r="E305" s="15" t="n">
        <x:v>29638.518185</x:v>
      </x:c>
      <x:c r="F305" s="15" t="n">
        <x:v>52427.113951</x:v>
      </x:c>
      <x:c r="G305" s="15" t="n">
        <x:v>-6849.922419000002</x:v>
      </x:c>
      <x:c r="H305" s="15" t="n">
        <x:v>134885.058878</x:v>
      </x:c>
      <x:c r="I305" s="15" t="n">
        <x:v>157673.654644</x:v>
      </x:c>
      <x:c r="J305" s="15" t="n">
        <x:v>18906.654182</x:v>
      </x:c>
      <x:c r="K305" s="15" t="n">
        <x:v>7754.4205360000005</x:v>
      </x:c>
      <x:c r="L305" s="15" t="n">
        <x:v>26661.074718</x:v>
      </x:c>
      <x:c r="M305" s="15" t="n">
        <x:v>11152.233645999997</x:v>
      </x:c>
      <x:c r="N305" s="15" t="n">
        <x:v>1.4485870339586782</x:v>
      </x:c>
      <x:c r="O305" s="15" t="n">
        <x:v>143943.3</x:v>
      </x:c>
      <x:c r="P305" s="15" t="n">
        <x:v>609131.39344</x:v>
      </x:c>
      <x:c r="Q305" s="15" t="n">
        <x:v>3059</x:v>
      </x:c>
      <x:c r="R305" s="15" t="n">
        <x:v>5.2976056287519</x:v>
      </x:c>
      <x:c r="S305" s="15" t="n">
        <x:v>0.09487666034156961</x:v>
      </x:c>
      <x:c r="T305" s="15" t="n">
        <x:v>0.005815978630641094</x:v>
      </x:c>
      <x:c r="U305" s="15" t="n">
        <x:v>0.11862396204033177</x:v>
      </x:c>
    </x:row>
    <x:row r="306">
      <x:c r="A306" s="13" t="str">
        <x:v>all_360</x:v>
      </x:c>
      <x:c r="B306" s="36" t="n">
        <x:v>45935.333333333336</x:v>
      </x:c>
      <x:c r="C306" s="36" t="n">
        <x:v>45935.416666666664</x:v>
      </x:c>
      <x:c r="D306" s="15" t="n">
        <x:v>195232.06312</x:v>
      </x:c>
      <x:c r="E306" s="15" t="n">
        <x:v>197154.460441</x:v>
      </x:c>
      <x:c r="F306" s="15" t="n">
        <x:v>392386.523561</x:v>
      </x:c>
      <x:c r="G306" s="15" t="n">
        <x:v>-1922.3973209999967</x:v>
      </x:c>
      <x:c r="H306" s="15" t="n">
        <x:v>209744.02673800002</x:v>
      </x:c>
      <x:c r="I306" s="15" t="n">
        <x:v>404976.08985800005</x:v>
      </x:c>
      <x:c r="J306" s="15" t="n">
        <x:v>17086.988722000002</x:v>
      </x:c>
      <x:c r="K306" s="15" t="n">
        <x:v>7710.836073</x:v>
      </x:c>
      <x:c r="L306" s="15" t="n">
        <x:v>24797.824795</x:v>
      </x:c>
      <x:c r="M306" s="15" t="n">
        <x:v>9376.152649000001</x:v>
      </x:c>
      <x:c r="N306" s="15" t="n">
        <x:v>1.2183692596063844</x:v>
      </x:c>
      <x:c r="O306" s="15" t="n">
        <x:v>374374.71</x:v>
      </x:c>
      <x:c r="P306" s="15" t="n">
        <x:v>1603293.65244</x:v>
      </x:c>
      <x:c r="Q306" s="15" t="n">
        <x:v>7003</x:v>
      </x:c>
      <x:c r="R306" s="15" t="n">
        <x:v>9.17983253577499</x:v>
      </x:c>
      <x:c r="S306" s="15" t="n">
        <x:v>0.16347501167678358</x:v>
      </x:c>
      <x:c r="T306" s="15" t="n">
        <x:v>0.0325953971584525</x:v>
      </x:c>
      <x:c r="U306" s="15" t="n">
        <x:v>0.1168770453482959</x:v>
      </x:c>
    </x:row>
    <x:row r="307">
      <x:c r="A307" s="13" t="str">
        <x:v>all_360</x:v>
      </x:c>
      <x:c r="B307" s="36" t="n">
        <x:v>45935.416666666664</x:v>
      </x:c>
      <x:c r="C307" s="36" t="n">
        <x:v>45935.5</x:v>
      </x:c>
      <x:c r="D307" s="15" t="n">
        <x:v>160845.131181</x:v>
      </x:c>
      <x:c r="E307" s="15" t="n">
        <x:v>161335.029844</x:v>
      </x:c>
      <x:c r="F307" s="15" t="n">
        <x:v>322180.16102500004</x:v>
      </x:c>
      <x:c r="G307" s="15" t="n">
        <x:v>-489.89866299999994</x:v>
      </x:c>
      <x:c r="H307" s="15" t="n">
        <x:v>64710.418304</x:v>
      </x:c>
      <x:c r="I307" s="15" t="n">
        <x:v>225555.549485</x:v>
      </x:c>
      <x:c r="J307" s="15" t="n">
        <x:v>26857.289688</x:v>
      </x:c>
      <x:c r="K307" s="15" t="n">
        <x:v>41880.11139</x:v>
      </x:c>
      <x:c r="L307" s="15" t="n">
        <x:v>68737.401078</x:v>
      </x:c>
      <x:c r="M307" s="15" t="n">
        <x:v>-15022.821701999997</x:v>
      </x:c>
      <x:c r="N307" s="15" t="n">
        <x:v>1.8271257905832605</x:v>
      </x:c>
      <x:c r="O307" s="15" t="n">
        <x:v>356173.26</x:v>
      </x:c>
      <x:c r="P307" s="15" t="n">
        <x:v>1504676.42064</x:v>
      </x:c>
      <x:c r="Q307" s="15" t="n">
        <x:v>6033</x:v>
      </x:c>
      <x:c r="R307" s="15" t="n">
        <x:v>8.163457972195687</x:v>
      </x:c>
      <x:c r="S307" s="15" t="n">
        <x:v>0.4508780256288647</x:v>
      </x:c>
      <x:c r="T307" s="15" t="n">
        <x:v>0.4508780256288647</x:v>
      </x:c>
      <x:c r="U307" s="15" t="n">
        <x:v>0.4508780256288647</x:v>
      </x:c>
    </x:row>
    <x:row r="308">
      <x:c r="A308" s="13" t="str">
        <x:v>all_360</x:v>
      </x:c>
      <x:c r="B308" s="36" t="n">
        <x:v>45935.5</x:v>
      </x:c>
      <x:c r="C308" s="36" t="n">
        <x:v>45935.583333333336</x:v>
      </x:c>
      <x:c r="D308" s="15" t="n">
        <x:v>45671.348962000004</x:v>
      </x:c>
      <x:c r="E308" s="15" t="n">
        <x:v>49621.621513</x:v>
      </x:c>
      <x:c r="F308" s="15" t="n">
        <x:v>95292.97047500001</x:v>
      </x:c>
      <x:c r="G308" s="15" t="n">
        <x:v>-3950.2725509999946</x:v>
      </x:c>
      <x:c r="H308" s="15" t="n">
        <x:v>72582.01798</x:v>
      </x:c>
      <x:c r="I308" s="15" t="n">
        <x:v>118253.36694200001</x:v>
      </x:c>
      <x:c r="J308" s="15" t="n">
        <x:v>28748.725884</x:v>
      </x:c>
      <x:c r="K308" s="15" t="n">
        <x:v>14247.660627</x:v>
      </x:c>
      <x:c r="L308" s="15" t="n">
        <x:v>42996.386511</x:v>
      </x:c>
      <x:c r="M308" s="15" t="n">
        <x:v>14501.065257</x:v>
      </x:c>
      <x:c r="N308" s="15" t="n">
        <x:v>1.278106508875725</x:v>
      </x:c>
      <x:c r="O308" s="15" t="n">
        <x:v>290510.35</x:v>
      </x:c>
      <x:c r="P308" s="15" t="n">
        <x:v>1224185.884</x:v>
      </x:c>
      <x:c r="Q308" s="15" t="n">
        <x:v>4446</x:v>
      </x:c>
      <x:c r="R308" s="15" t="n">
        <x:v>6.961301724545033</x:v>
      </x:c>
      <x:c r="S308" s="15" t="n">
        <x:v>0.14302741358760418</x:v>
      </x:c>
      <x:c r="T308" s="15" t="n">
        <x:v>0.11579524634421912</x:v>
      </x:c>
      <x:c r="U308" s="15" t="n">
        <x:v>0.14261944378417546</x:v>
      </x:c>
    </x:row>
    <x:row r="309">
      <x:c r="A309" s="13" t="str">
        <x:v>all_360</x:v>
      </x:c>
      <x:c r="B309" s="36" t="n">
        <x:v>45935.583333333336</x:v>
      </x:c>
      <x:c r="C309" s="36" t="n">
        <x:v>45935.666666666664</x:v>
      </x:c>
      <x:c r="D309" s="15" t="n">
        <x:v>35159.43128</x:v>
      </x:c>
      <x:c r="E309" s="15" t="n">
        <x:v>31570.455605</x:v>
      </x:c>
      <x:c r="F309" s="15" t="n">
        <x:v>66729.886885</x:v>
      </x:c>
      <x:c r="G309" s="15" t="n">
        <x:v>3588.975674999998</x:v>
      </x:c>
      <x:c r="H309" s="15" t="n">
        <x:v>221475.599045</x:v>
      </x:c>
      <x:c r="I309" s="15" t="n">
        <x:v>256635.030325</x:v>
      </x:c>
      <x:c r="J309" s="15" t="n">
        <x:v>11976.980695</x:v>
      </x:c>
      <x:c r="K309" s="15" t="n">
        <x:v>13154.232797</x:v>
      </x:c>
      <x:c r="L309" s="15" t="n">
        <x:v>25131.213492000003</x:v>
      </x:c>
      <x:c r="M309" s="15" t="n">
        <x:v>-1177.2521020000004</x:v>
      </x:c>
      <x:c r="N309" s="15" t="n">
        <x:v>1.5094339622641522</x:v>
      </x:c>
      <x:c r="O309" s="15" t="n">
        <x:v>137732.95</x:v>
      </x:c>
      <x:c r="P309" s="15" t="n">
        <x:v>581324.9514</x:v>
      </x:c>
      <x:c r="Q309" s="15" t="n">
        <x:v>2989</x:v>
      </x:c>
      <x:c r="R309" s="15" t="n">
        <x:v>6.06659289552085</x:v>
      </x:c>
      <x:c r="S309" s="15" t="n">
        <x:v>0.16611295681064897</x:v>
      </x:c>
      <x:c r="T309" s="15" t="n">
        <x:v>0.013664328795148784</x:v>
      </x:c>
      <x:c r="U309" s="15" t="n">
        <x:v>0.18988844054118603</x:v>
      </x:c>
    </x:row>
    <x:row r="310">
      <x:c r="A310" s="13" t="str">
        <x:v>all_360</x:v>
      </x:c>
      <x:c r="B310" s="36" t="n">
        <x:v>45935.666666666664</x:v>
      </x:c>
      <x:c r="C310" s="36" t="n">
        <x:v>45935.75</x:v>
      </x:c>
      <x:c r="D310" s="15" t="n">
        <x:v>19587.771495</x:v>
      </x:c>
      <x:c r="E310" s="15" t="n">
        <x:v>18438.738856</x:v>
      </x:c>
      <x:c r="F310" s="15" t="n">
        <x:v>38026.510351000004</x:v>
      </x:c>
      <x:c r="G310" s="15" t="n">
        <x:v>1149.032639000001</x:v>
      </x:c>
      <x:c r="H310" s="15" t="n">
        <x:v>57879.559166</x:v>
      </x:c>
      <x:c r="I310" s="15" t="n">
        <x:v>77467.330661</x:v>
      </x:c>
      <x:c r="J310" s="15" t="n">
        <x:v>12603.017504</x:v>
      </x:c>
      <x:c r="K310" s="15" t="n">
        <x:v>26294.810191</x:v>
      </x:c>
      <x:c r="L310" s="15" t="n">
        <x:v>38897.827695</x:v>
      </x:c>
      <x:c r="M310" s="15" t="n">
        <x:v>-13691.792687000001</x:v>
      </x:c>
      <x:c r="N310" s="15" t="n">
        <x:v>1.565093668484701</x:v>
      </x:c>
      <x:c r="O310" s="15" t="n">
        <x:v>170181.39</x:v>
      </x:c>
      <x:c r="P310" s="15" t="n">
        <x:v>716281.78472</x:v>
      </x:c>
      <x:c r="Q310" s="15" t="n">
        <x:v>3890</x:v>
      </x:c>
      <x:c r="R310" s="15" t="n">
        <x:v>7.570744488454695</x:v>
      </x:c>
      <x:c r="S310" s="15" t="n">
        <x:v>0.1422812425895037</x:v>
      </x:c>
      <x:c r="T310" s="15" t="n">
        <x:v>0</x:v>
      </x:c>
      <x:c r="U310" s="15" t="n">
        <x:v>0.11916110581505768</x:v>
      </x:c>
    </x:row>
    <x:row r="311">
      <x:c r="A311" s="13" t="str">
        <x:v>all_360</x:v>
      </x:c>
      <x:c r="B311" s="36" t="n">
        <x:v>45935.75</x:v>
      </x:c>
      <x:c r="C311" s="36" t="n">
        <x:v>45935.833333333336</x:v>
      </x:c>
      <x:c r="D311" s="15" t="n">
        <x:v>13452.397466</x:v>
      </x:c>
      <x:c r="E311" s="15" t="n">
        <x:v>18773.365822</x:v>
      </x:c>
      <x:c r="F311" s="15" t="n">
        <x:v>32225.763288000002</x:v>
      </x:c>
      <x:c r="G311" s="15" t="n">
        <x:v>-5320.968355999999</x:v>
      </x:c>
      <x:c r="H311" s="15" t="n">
        <x:v>28975.237385</x:v>
      </x:c>
      <x:c r="I311" s="15" t="n">
        <x:v>42427.634851</x:v>
      </x:c>
      <x:c r="J311" s="15" t="n">
        <x:v>16351.907536</x:v>
      </x:c>
      <x:c r="K311" s="15" t="n">
        <x:v>19180.092496</x:v>
      </x:c>
      <x:c r="L311" s="15" t="n">
        <x:v>35532.000032</x:v>
      </x:c>
      <x:c r="M311" s="15" t="n">
        <x:v>-2828.1849600000005</x:v>
      </x:c>
      <x:c r="N311" s="15" t="n">
        <x:v>1.531833413116325</x:v>
      </x:c>
      <x:c r="O311" s="15" t="n">
        <x:v>123872.54000000001</x:v>
      </x:c>
      <x:c r="P311" s="15" t="n">
        <x:v>515802.42294</x:v>
      </x:c>
      <x:c r="Q311" s="15" t="n">
        <x:v>3674</x:v>
      </x:c>
      <x:c r="R311" s="15" t="n">
        <x:v>6.856907300854198</x:v>
      </x:c>
      <x:c r="S311" s="15" t="n">
        <x:v>0.14398848092153083</x:v>
      </x:c>
      <x:c r="T311" s="15" t="n">
        <x:v>0.0023177776031224617</x:v>
      </x:c>
      <x:c r="U311" s="15" t="n">
        <x:v>0.14464802314366754</x:v>
      </x:c>
    </x:row>
    <x:row r="312">
      <x:c r="A312" s="13" t="str">
        <x:v>all_360</x:v>
      </x:c>
      <x:c r="B312" s="36" t="n">
        <x:v>45935.833333333336</x:v>
      </x:c>
      <x:c r="C312" s="36" t="n">
        <x:v>45935.916666666664</x:v>
      </x:c>
      <x:c r="D312" s="15" t="n">
        <x:v>35843.037281</x:v>
      </x:c>
      <x:c r="E312" s="15" t="n">
        <x:v>36708.417758</x:v>
      </x:c>
      <x:c r="F312" s="15" t="n">
        <x:v>72551.455039</x:v>
      </x:c>
      <x:c r="G312" s="15" t="n">
        <x:v>-865.3804770000061</x:v>
      </x:c>
      <x:c r="H312" s="15" t="n">
        <x:v>186802.822562</x:v>
      </x:c>
      <x:c r="I312" s="15" t="n">
        <x:v>222645.85984299998</x:v>
      </x:c>
      <x:c r="J312" s="15" t="n">
        <x:v>15738.867705</x:v>
      </x:c>
      <x:c r="K312" s="15" t="n">
        <x:v>16429.587054</x:v>
      </x:c>
      <x:c r="L312" s="15" t="n">
        <x:v>32168.454759</x:v>
      </x:c>
      <x:c r="M312" s="15" t="n">
        <x:v>-690.719348999999</x:v>
      </x:c>
      <x:c r="N312" s="15" t="n">
        <x:v>0.9666505558240704</x:v>
      </x:c>
      <x:c r="O312" s="15" t="n">
        <x:v>77348.02</x:v>
      </x:c>
      <x:c r="P312" s="15" t="n">
        <x:v>320500.22354</x:v>
      </x:c>
      <x:c r="Q312" s="15" t="n">
        <x:v>2632</x:v>
      </x:c>
      <x:c r="R312" s="15" t="n">
        <x:v>6.368944019414324</x:v>
      </x:c>
      <x:c r="S312" s="15" t="n">
        <x:v>0.14468290330359457</x:v>
      </x:c>
      <x:c r="T312" s="15" t="n">
        <x:v>0</x:v>
      </x:c>
      <x:c r="U312" s="15" t="n">
        <x:v>0.12071463061325005</x:v>
      </x:c>
    </x:row>
    <x:row r="313">
      <x:c r="A313" s="13" t="str">
        <x:v>all_360</x:v>
      </x:c>
      <x:c r="B313" s="36" t="n">
        <x:v>45935.916666666664</x:v>
      </x:c>
      <x:c r="C313" s="36" t="n">
        <x:v>45936</x:v>
      </x:c>
      <x:c r="D313" s="15" t="n">
        <x:v>2551.215869</x:v>
      </x:c>
      <x:c r="E313" s="15" t="n">
        <x:v>1879.7079999999999</x:v>
      </x:c>
      <x:c r="F313" s="15" t="n">
        <x:v>4430.923869</x:v>
      </x:c>
      <x:c r="G313" s="15" t="n">
        <x:v>671.5078690000003</x:v>
      </x:c>
      <x:c r="H313" s="15" t="n">
        <x:v>91163.53666499999</x:v>
      </x:c>
      <x:c r="I313" s="15" t="n">
        <x:v>93714.752534</x:v>
      </x:c>
      <x:c r="J313" s="15" t="n">
        <x:v>5664.583014</x:v>
      </x:c>
      <x:c r="K313" s="15" t="n">
        <x:v>3447.08261</x:v>
      </x:c>
      <x:c r="L313" s="15" t="n">
        <x:v>9111.665624</x:v>
      </x:c>
      <x:c r="M313" s="15" t="n">
        <x:v>2217.500404</x:v>
      </x:c>
      <x:c r="N313" s="15" t="n">
        <x:v>0.7957559681697699</x:v>
      </x:c>
      <x:c r="O313" s="15" t="n">
        <x:v>54806.45</x:v>
      </x:c>
      <x:c r="P313" s="15" t="n">
        <x:v>227763.42072</x:v>
      </x:c>
      <x:c r="Q313" s="15" t="n">
        <x:v>1887</x:v>
      </x:c>
      <x:c r="R313" s="15" t="n">
        <x:v>4.9824802756921915</x:v>
      </x:c>
      <x:c r="S313" s="15" t="n">
        <x:v>0.14416146083614523</x:v>
      </x:c>
      <x:c r="T313" s="15" t="n">
        <x:v>-0.02402691013936309</x:v>
      </x:c>
      <x:c r="U313" s="15" t="n">
        <x:v>0.12042389210018545</x:v>
      </x:c>
    </x:row>
    <x:row r="314">
      <x:c r="A314" s="13" t="str">
        <x:v>all_360</x:v>
      </x:c>
      <x:c r="B314" s="36" t="n">
        <x:v>45936</x:v>
      </x:c>
      <x:c r="C314" s="36" t="n">
        <x:v>45936.083333333336</x:v>
      </x:c>
      <x:c r="D314" s="15" t="n">
        <x:v>14994.453088</x:v>
      </x:c>
      <x:c r="E314" s="15" t="n">
        <x:v>15146.495719999999</x:v>
      </x:c>
      <x:c r="F314" s="15" t="n">
        <x:v>30140.948808</x:v>
      </x:c>
      <x:c r="G314" s="15" t="n">
        <x:v>-152.04263199999878</x:v>
      </x:c>
      <x:c r="H314" s="15" t="n">
        <x:v>127714.904148</x:v>
      </x:c>
      <x:c r="I314" s="15" t="n">
        <x:v>142709.357236</x:v>
      </x:c>
      <x:c r="J314" s="15" t="n">
        <x:v>28393.708903000002</x:v>
      </x:c>
      <x:c r="K314" s="15" t="n">
        <x:v>38100.293628</x:v>
      </x:c>
      <x:c r="L314" s="15" t="n">
        <x:v>66494.002531</x:v>
      </x:c>
      <x:c r="M314" s="15" t="n">
        <x:v>-9706.584724999997</x:v>
      </x:c>
      <x:c r="N314" s="15" t="n">
        <x:v>1.591128254580517</x:v>
      </x:c>
      <x:c r="O314" s="15" t="n">
        <x:v>211253.04</x:v>
      </x:c>
      <x:c r="P314" s="15" t="n">
        <x:v>875196.08598</x:v>
      </x:c>
      <x:c r="Q314" s="15" t="n">
        <x:v>5203</x:v>
      </x:c>
      <x:c r="R314" s="15" t="n">
        <x:v>9.551593351625876</x:v>
      </x:c>
      <x:c r="S314" s="15" t="n">
        <x:v>0.19300361881785522</x:v>
      </x:c>
      <x:c r="T314" s="15" t="n">
        <x:v>-0.01807172552756864</x:v>
      </x:c>
      <x:c r="U314" s="15" t="n">
        <x:v>0.1927710843373509</x:v>
      </x:c>
    </x:row>
    <x:row r="315">
      <x:c r="A315" s="13" t="str">
        <x:v>all_360</x:v>
      </x:c>
      <x:c r="B315" s="36" t="n">
        <x:v>45936.083333333336</x:v>
      </x:c>
      <x:c r="C315" s="36" t="n">
        <x:v>45936.166666666664</x:v>
      </x:c>
      <x:c r="D315" s="15" t="n">
        <x:v>3236.678988</x:v>
      </x:c>
      <x:c r="E315" s="15" t="n">
        <x:v>2983.590461</x:v>
      </x:c>
      <x:c r="F315" s="15" t="n">
        <x:v>6220.269448999999</x:v>
      </x:c>
      <x:c r="G315" s="15" t="n">
        <x:v>253.08852700000034</x:v>
      </x:c>
      <x:c r="H315" s="15" t="n">
        <x:v>93228.324098</x:v>
      </x:c>
      <x:c r="I315" s="15" t="n">
        <x:v>96465.003086</x:v>
      </x:c>
      <x:c r="J315" s="15" t="n">
        <x:v>21998.213884</x:v>
      </x:c>
      <x:c r="K315" s="15" t="n">
        <x:v>22686.767714999998</x:v>
      </x:c>
      <x:c r="L315" s="15" t="n">
        <x:v>44684.981599</x:v>
      </x:c>
      <x:c r="M315" s="15" t="n">
        <x:v>-688.5538309999974</x:v>
      </x:c>
      <x:c r="N315" s="15" t="n">
        <x:v>1.107099879663063</x:v>
      </x:c>
      <x:c r="O315" s="15" t="n">
        <x:v>101200.26</x:v>
      </x:c>
      <x:c r="P315" s="15" t="n">
        <x:v>420361.83952</x:v>
      </x:c>
      <x:c r="Q315" s="15" t="n">
        <x:v>3191</x:v>
      </x:c>
      <x:c r="R315" s="15" t="n">
        <x:v>6.954138908381102</x:v>
      </x:c>
      <x:c r="S315" s="15" t="n">
        <x:v>0.2171814671814709</x:v>
      </x:c>
      <x:c r="T315" s="15" t="n">
        <x:v>-0.024108003857281624</x:v>
      </x:c>
      <x:c r="U315" s="15" t="n">
        <x:v>0.16835016835018424</x:v>
      </x:c>
    </x:row>
    <x:row r="316">
      <x:c r="A316" s="13" t="str">
        <x:v>all_360</x:v>
      </x:c>
      <x:c r="B316" s="36" t="n">
        <x:v>45936.166666666664</x:v>
      </x:c>
      <x:c r="C316" s="36" t="n">
        <x:v>45936.25</x:v>
      </x:c>
      <x:c r="D316" s="15" t="n">
        <x:v>18331.513638</x:v>
      </x:c>
      <x:c r="E316" s="15" t="n">
        <x:v>20173.052222000002</x:v>
      </x:c>
      <x:c r="F316" s="15" t="n">
        <x:v>38504.56586</x:v>
      </x:c>
      <x:c r="G316" s="15" t="n">
        <x:v>-1841.5385840000017</x:v>
      </x:c>
      <x:c r="H316" s="15" t="n">
        <x:v>51529.318169</x:v>
      </x:c>
      <x:c r="I316" s="15" t="n">
        <x:v>69860.831807</x:v>
      </x:c>
      <x:c r="J316" s="15" t="n">
        <x:v>5174.261206</x:v>
      </x:c>
      <x:c r="K316" s="15" t="n">
        <x:v>8707.149155</x:v>
      </x:c>
      <x:c r="L316" s="15" t="n">
        <x:v>13881.410360999998</x:v>
      </x:c>
      <x:c r="M316" s="15" t="n">
        <x:v>-3532.887948999999</x:v>
      </x:c>
      <x:c r="N316" s="15" t="n">
        <x:v>0.9379509379509308</x:v>
      </x:c>
      <x:c r="O316" s="15" t="n">
        <x:v>98383.43</x:v>
      </x:c>
      <x:c r="P316" s="15" t="n">
        <x:v>407619.16611</x:v>
      </x:c>
      <x:c r="Q316" s="15" t="n">
        <x:v>2431</x:v>
      </x:c>
      <x:c r="R316" s="15" t="n">
        <x:v>5.911935641007338</x:v>
      </x:c>
      <x:c r="S316" s="15" t="n">
        <x:v>0.14503263234225683</x:v>
      </x:c>
      <x:c r="T316" s="15" t="n">
        <x:v>0</x:v>
      </x:c>
      <x:c r="U316" s="15" t="n">
        <x:v>0.12054001928639702</x:v>
      </x:c>
    </x:row>
    <x:row r="317">
      <x:c r="A317" s="13" t="str">
        <x:v>all_360</x:v>
      </x:c>
      <x:c r="B317" s="36" t="n">
        <x:v>45936.25</x:v>
      </x:c>
      <x:c r="C317" s="36" t="n">
        <x:v>45936.333333333336</x:v>
      </x:c>
      <x:c r="D317" s="15" t="n">
        <x:v>45339.406081</x:v>
      </x:c>
      <x:c r="E317" s="15" t="n">
        <x:v>48168.993566</x:v>
      </x:c>
      <x:c r="F317" s="15" t="n">
        <x:v>93508.399647</x:v>
      </x:c>
      <x:c r="G317" s="15" t="n">
        <x:v>-2829.5874849999964</x:v>
      </x:c>
      <x:c r="H317" s="15" t="n">
        <x:v>65329.201061</x:v>
      </x:c>
      <x:c r="I317" s="15" t="n">
        <x:v>110668.607142</x:v>
      </x:c>
      <x:c r="J317" s="15" t="n">
        <x:v>42031.809371</x:v>
      </x:c>
      <x:c r="K317" s="15" t="n">
        <x:v>84668.24338100001</x:v>
      </x:c>
      <x:c r="L317" s="15" t="n">
        <x:v>126700.05275200002</x:v>
      </x:c>
      <x:c r="M317" s="15" t="n">
        <x:v>-42636.434010000004</x:v>
      </x:c>
      <x:c r="N317" s="15" t="n">
        <x:v>1.0832932113625404</x:v>
      </x:c>
      <x:c r="O317" s="15" t="n">
        <x:v>175938.42</x:v>
      </x:c>
      <x:c r="P317" s="15" t="n">
        <x:v>733177.47175</x:v>
      </x:c>
      <x:c r="Q317" s="15" t="n">
        <x:v>3939</x:v>
      </x:c>
      <x:c r="R317" s="15" t="n">
        <x:v>6.645711299850654</x:v>
      </x:c>
      <x:c r="S317" s="15" t="n">
        <x:v>0.2157238734419864</x:v>
      </x:c>
      <x:c r="T317" s="15" t="n">
        <x:v>0.11618305071727786</x:v>
      </x:c>
      <x:c r="U317" s="15" t="n">
        <x:v>0.19189254017749624</x:v>
      </x:c>
    </x:row>
    <x:row r="318">
      <x:c r="A318" s="13" t="str">
        <x:v>all_360</x:v>
      </x:c>
      <x:c r="B318" s="36" t="n">
        <x:v>45936.333333333336</x:v>
      </x:c>
      <x:c r="C318" s="36" t="n">
        <x:v>45936.416666666664</x:v>
      </x:c>
      <x:c r="D318" s="15" t="n">
        <x:v>113734.15247</x:v>
      </x:c>
      <x:c r="E318" s="15" t="n">
        <x:v>114908.150338</x:v>
      </x:c>
      <x:c r="F318" s="15" t="n">
        <x:v>228642.302808</x:v>
      </x:c>
      <x:c r="G318" s="15" t="n">
        <x:v>-1173.9978680000058</x:v>
      </x:c>
      <x:c r="H318" s="15" t="n">
        <x:v>74085.315127</x:v>
      </x:c>
      <x:c r="I318" s="15" t="n">
        <x:v>187819.467597</x:v>
      </x:c>
      <x:c r="J318" s="15" t="n">
        <x:v>106866.091603</x:v>
      </x:c>
      <x:c r="K318" s="15" t="n">
        <x:v>117021.750262</x:v>
      </x:c>
      <x:c r="L318" s="15" t="n">
        <x:v>223887.841865</x:v>
      </x:c>
      <x:c r="M318" s="15" t="n">
        <x:v>-10155.658659000008</x:v>
      </x:c>
      <x:c r="N318" s="15" t="n">
        <x:v>0.6253006253006205</x:v>
      </x:c>
      <x:c r="O318" s="15" t="n">
        <x:v>184676.42</x:v>
      </x:c>
      <x:c r="P318" s="15" t="n">
        <x:v>769900.62547</x:v>
      </x:c>
      <x:c r="Q318" s="15" t="n">
        <x:v>3338</x:v>
      </x:c>
      <x:c r="R318" s="15" t="n">
        <x:v>6.0440015300777805</x:v>
      </x:c>
      <x:c r="S318" s="15" t="n">
        <x:v>0.33468802295003597</x:v>
      </x:c>
      <x:c r="T318" s="15" t="n">
        <x:v>0.09606147934677622</x:v>
      </x:c>
      <x:c r="U318" s="15" t="n">
        <x:v>0.16798656107510634</x:v>
      </x:c>
    </x:row>
    <x:row r="319">
      <x:c r="A319" s="13" t="str">
        <x:v>all_360</x:v>
      </x:c>
      <x:c r="B319" s="36" t="n">
        <x:v>45936.416666666664</x:v>
      </x:c>
      <x:c r="C319" s="36" t="n">
        <x:v>45936.5</x:v>
      </x:c>
      <x:c r="D319" s="15" t="n">
        <x:v>58194.384203</x:v>
      </x:c>
      <x:c r="E319" s="15" t="n">
        <x:v>55236.615598</x:v>
      </x:c>
      <x:c r="F319" s="15" t="n">
        <x:v>113430.999801</x:v>
      </x:c>
      <x:c r="G319" s="15" t="n">
        <x:v>2957.7686050000048</x:v>
      </x:c>
      <x:c r="H319" s="15" t="n">
        <x:v>80012.501608</x:v>
      </x:c>
      <x:c r="I319" s="15" t="n">
        <x:v>138206.88581100001</x:v>
      </x:c>
      <x:c r="J319" s="15" t="n">
        <x:v>36630.440297</x:v>
      </x:c>
      <x:c r="K319" s="15" t="n">
        <x:v>83986.539663</x:v>
      </x:c>
      <x:c r="L319" s="15" t="n">
        <x:v>120616.97996</x:v>
      </x:c>
      <x:c r="M319" s="15" t="n">
        <x:v>-47356.099366</x:v>
      </x:c>
      <x:c r="N319" s="15" t="n">
        <x:v>0.9365994236311168</x:v>
      </x:c>
      <x:c r="O319" s="15" t="n">
        <x:v>120401.38</x:v>
      </x:c>
      <x:c r="P319" s="15" t="n">
        <x:v>502033.58355</x:v>
      </x:c>
      <x:c r="Q319" s="15" t="n">
        <x:v>2959</x:v>
      </x:c>
      <x:c r="R319" s="15" t="n">
        <x:v>5.922253327994942</x:v>
      </x:c>
      <x:c r="S319" s="15" t="n">
        <x:v>0.1911132345915001</x:v>
      </x:c>
      <x:c r="T319" s="15" t="n">
        <x:v>0.0610041282881113</x:v>
      </x:c>
      <x:c r="U319" s="15" t="n">
        <x:v>0.16734401147501243</x:v>
      </x:c>
    </x:row>
    <x:row r="320">
      <x:c r="A320" s="13" t="str">
        <x:v>all_360</x:v>
      </x:c>
      <x:c r="B320" s="36" t="n">
        <x:v>45936.5</x:v>
      </x:c>
      <x:c r="C320" s="36" t="n">
        <x:v>45936.583333333336</x:v>
      </x:c>
      <x:c r="D320" s="15" t="n">
        <x:v>131431.771857</x:v>
      </x:c>
      <x:c r="E320" s="15" t="n">
        <x:v>80631.319019</x:v>
      </x:c>
      <x:c r="F320" s="15" t="n">
        <x:v>212063.090876</x:v>
      </x:c>
      <x:c r="G320" s="15" t="n">
        <x:v>50800.45283800001</x:v>
      </x:c>
      <x:c r="H320" s="15" t="n">
        <x:v>139402.567402</x:v>
      </x:c>
      <x:c r="I320" s="15" t="n">
        <x:v>270834.33925900003</x:v>
      </x:c>
      <x:c r="J320" s="15" t="n">
        <x:v>101330.373507</x:v>
      </x:c>
      <x:c r="K320" s="15" t="n">
        <x:v>60893.294031000005</x:v>
      </x:c>
      <x:c r="L320" s="15" t="n">
        <x:v>162223.667538</x:v>
      </x:c>
      <x:c r="M320" s="15" t="n">
        <x:v>40437.07947599999</x:v>
      </x:c>
      <x:c r="N320" s="15" t="n">
        <x:v>1.5362457993278937</x:v>
      </x:c>
      <x:c r="O320" s="15" t="n">
        <x:v>232418.17</x:v>
      </x:c>
      <x:c r="P320" s="15" t="n">
        <x:v>972664.27598</x:v>
      </x:c>
      <x:c r="Q320" s="15" t="n">
        <x:v>4752</x:v>
      </x:c>
      <x:c r="R320" s="15" t="n">
        <x:v>6.948697280607896</x:v>
      </x:c>
      <x:c r="S320" s="15" t="n">
        <x:v>0.2391200382592218</x:v>
      </x:c>
      <x:c r="T320" s="15" t="n">
        <x:v>0.04790419161676551</x:v>
      </x:c>
      <x:c r="U320" s="15" t="n">
        <x:v>0.1435750179468842</x:v>
      </x:c>
    </x:row>
    <x:row r="321">
      <x:c r="A321" s="13" t="str">
        <x:v>all_360</x:v>
      </x:c>
      <x:c r="B321" s="36" t="n">
        <x:v>45936.583333333336</x:v>
      </x:c>
      <x:c r="C321" s="36" t="n">
        <x:v>45936.666666666664</x:v>
      </x:c>
      <x:c r="D321" s="15" t="n">
        <x:v>68204.72554900001</x:v>
      </x:c>
      <x:c r="E321" s="15" t="n">
        <x:v>102045.792905</x:v>
      </x:c>
      <x:c r="F321" s="15" t="n">
        <x:v>170250.518454</x:v>
      </x:c>
      <x:c r="G321" s="15" t="n">
        <x:v>-33841.067355999985</x:v>
      </x:c>
      <x:c r="H321" s="15" t="n">
        <x:v>263632.311217</x:v>
      </x:c>
      <x:c r="I321" s="15" t="n">
        <x:v>331837.03676600003</x:v>
      </x:c>
      <x:c r="J321" s="15" t="n">
        <x:v>98683.826292</x:v>
      </x:c>
      <x:c r="K321" s="15" t="n">
        <x:v>48358.181215000004</x:v>
      </x:c>
      <x:c r="L321" s="15" t="n">
        <x:v>147042.007507</x:v>
      </x:c>
      <x:c r="M321" s="15" t="n">
        <x:v>50325.645076999994</x:v>
      </x:c>
      <x:c r="N321" s="15" t="n">
        <x:v>1.5613910574875758</x:v>
      </x:c>
      <x:c r="O321" s="15" t="n">
        <x:v>248073.91</x:v>
      </x:c>
      <x:c r="P321" s="15" t="n">
        <x:v>1050866.2672299999</x:v>
      </x:c>
      <x:c r="Q321" s="15" t="n">
        <x:v>5413</x:v>
      </x:c>
      <x:c r="R321" s="15" t="n">
        <x:v>8.233028973063927</x:v>
      </x:c>
      <x:c r="S321" s="15" t="n">
        <x:v>0.1656804733727757</x:v>
      </x:c>
      <x:c r="T321" s="15" t="n">
        <x:v>0.1019935435856878</x:v>
      </x:c>
      <x:c r="U321" s="15" t="n">
        <x:v>0.1654455211533845</x:v>
      </x:c>
    </x:row>
    <x:row r="322">
      <x:c r="A322" s="13" t="str">
        <x:v>all_360</x:v>
      </x:c>
      <x:c r="B322" s="36" t="n">
        <x:v>45936.666666666664</x:v>
      </x:c>
      <x:c r="C322" s="36" t="n">
        <x:v>45936.75</x:v>
      </x:c>
      <x:c r="D322" s="15" t="n">
        <x:v>322843.188391</x:v>
      </x:c>
      <x:c r="E322" s="15" t="n">
        <x:v>321194.780435</x:v>
      </x:c>
      <x:c r="F322" s="15" t="n">
        <x:v>644037.968826</x:v>
      </x:c>
      <x:c r="G322" s="15" t="n">
        <x:v>1648.4079559999518</x:v>
      </x:c>
      <x:c r="H322" s="15" t="n">
        <x:v>211665.813394</x:v>
      </x:c>
      <x:c r="I322" s="15" t="n">
        <x:v>534509.001785</x:v>
      </x:c>
      <x:c r="J322" s="15" t="n">
        <x:v>41997.234485</x:v>
      </x:c>
      <x:c r="K322" s="15" t="n">
        <x:v>21533.881939</x:v>
      </x:c>
      <x:c r="L322" s="15" t="n">
        <x:v>63531.116424</x:v>
      </x:c>
      <x:c r="M322" s="15" t="n">
        <x:v>20463.352546000002</x:v>
      </x:c>
      <x:c r="N322" s="15" t="n">
        <x:v>1.9023015500234948</x:v>
      </x:c>
      <x:c r="O322" s="15" t="n">
        <x:v>314385.88</x:v>
      </x:c>
      <x:c r="P322" s="15" t="n">
        <x:v>1341874.05979</x:v>
      </x:c>
      <x:c r="Q322" s="15" t="n">
        <x:v>6856</x:v>
      </x:c>
      <x:c r="R322" s="15" t="n">
        <x:v>9.024053814509369</x:v>
      </x:c>
      <x:c r="S322" s="15" t="n">
        <x:v>0.1887237556027377</x:v>
      </x:c>
      <x:c r="T322" s="15" t="n">
        <x:v>0.1488949659216976</x:v>
      </x:c>
      <x:c r="U322" s="15" t="n">
        <x:v>0.1887237556027377</x:v>
      </x:c>
    </x:row>
    <x:row r="323">
      <x:c r="A323" s="13" t="str">
        <x:v>all_360</x:v>
      </x:c>
      <x:c r="B323" s="36" t="n">
        <x:v>45936.75</x:v>
      </x:c>
      <x:c r="C323" s="36" t="n">
        <x:v>45936.833333333336</x:v>
      </x:c>
      <x:c r="D323" s="15" t="n">
        <x:v>65639.671721</x:v>
      </x:c>
      <x:c r="E323" s="15" t="n">
        <x:v>65059.773528</x:v>
      </x:c>
      <x:c r="F323" s="15" t="n">
        <x:v>130699.44524900001</x:v>
      </x:c>
      <x:c r="G323" s="15" t="n">
        <x:v>579.8981930000082</x:v>
      </x:c>
      <x:c r="H323" s="15" t="n">
        <x:v>419605.048191</x:v>
      </x:c>
      <x:c r="I323" s="15" t="n">
        <x:v>485244.719912</x:v>
      </x:c>
      <x:c r="J323" s="15" t="n">
        <x:v>10428.577029</x:v>
      </x:c>
      <x:c r="K323" s="15" t="n">
        <x:v>18162.961145</x:v>
      </x:c>
      <x:c r="L323" s="15" t="n">
        <x:v>28591.538174</x:v>
      </x:c>
      <x:c r="M323" s="15" t="n">
        <x:v>-7734.384116000001</x:v>
      </x:c>
      <x:c r="N323" s="15" t="n">
        <x:v>0.5614035087719303</x:v>
      </x:c>
      <x:c r="O323" s="15" t="n">
        <x:v>126017.26</x:v>
      </x:c>
      <x:c r="P323" s="15" t="n">
        <x:v>539885.57058</x:v>
      </x:c>
      <x:c r="Q323" s="15" t="n">
        <x:v>3242</x:v>
      </x:c>
      <x:c r="R323" s="15" t="n">
        <x:v>5.835624243296866</x:v>
      </x:c>
      <x:c r="S323" s="15" t="n">
        <x:v>0.18665422305179646</x:v>
      </x:c>
      <x:c r="T323" s="15" t="n">
        <x:v>0.054694110332520474</x:v>
      </x:c>
      <x:c r="U323" s="15" t="n">
        <x:v>0.13989274889250058</x:v>
      </x:c>
    </x:row>
    <x:row r="324">
      <x:c r="A324" s="13" t="str">
        <x:v>all_360</x:v>
      </x:c>
      <x:c r="B324" s="36" t="n">
        <x:v>45936.833333333336</x:v>
      </x:c>
      <x:c r="C324" s="36" t="n">
        <x:v>45936.916666666664</x:v>
      </x:c>
      <x:c r="D324" s="15" t="n">
        <x:v>23036.256102</x:v>
      </x:c>
      <x:c r="E324" s="15" t="n">
        <x:v>22126.728807</x:v>
      </x:c>
      <x:c r="F324" s="15" t="n">
        <x:v>45162.984909</x:v>
      </x:c>
      <x:c r="G324" s="15" t="n">
        <x:v>909.5272949999999</x:v>
      </x:c>
      <x:c r="H324" s="15" t="n">
        <x:v>123490.355</x:v>
      </x:c>
      <x:c r="I324" s="15" t="n">
        <x:v>146526.611102</x:v>
      </x:c>
      <x:c r="J324" s="15" t="n">
        <x:v>23439.983716</x:v>
      </x:c>
      <x:c r="K324" s="15" t="n">
        <x:v>45754.465489</x:v>
      </x:c>
      <x:c r="L324" s="15" t="n">
        <x:v>69194.449205</x:v>
      </x:c>
      <x:c r="M324" s="15" t="n">
        <x:v>-22314.481773000003</x:v>
      </x:c>
      <x:c r="N324" s="15" t="n">
        <x:v>1.0030324236062549</x:v>
      </x:c>
      <x:c r="O324" s="15" t="n">
        <x:v>116904.71</x:v>
      </x:c>
      <x:c r="P324" s="15" t="n">
        <x:v>500628.66822</x:v>
      </x:c>
      <x:c r="Q324" s="15" t="n">
        <x:v>2734</x:v>
      </x:c>
      <x:c r="R324" s="15" t="n">
        <x:v>6.373960624298691</x:v>
      </x:c>
      <x:c r="S324" s="15" t="n">
        <x:v>0.16248839368615542</x:v>
      </x:c>
      <x:c r="T324" s="15" t="n">
        <x:v>0.04676174888940121</x:v>
      </x:c>
      <x:c r="U324" s="15" t="n">
        <x:v>0.18587360594795044</x:v>
      </x:c>
    </x:row>
    <x:row r="325">
      <x:c r="A325" s="13" t="str">
        <x:v>all_360</x:v>
      </x:c>
      <x:c r="B325" s="36" t="n">
        <x:v>45936.916666666664</x:v>
      </x:c>
      <x:c r="C325" s="36" t="n">
        <x:v>45937</x:v>
      </x:c>
      <x:c r="D325" s="15" t="n">
        <x:v>323034.110463</x:v>
      </x:c>
      <x:c r="E325" s="15" t="n">
        <x:v>322300.920005</x:v>
      </x:c>
      <x:c r="F325" s="15" t="n">
        <x:v>645335.0304680001</x:v>
      </x:c>
      <x:c r="G325" s="15" t="n">
        <x:v>733.1904579999973</x:v>
      </x:c>
      <x:c r="H325" s="15" t="n">
        <x:v>127374.37557</x:v>
      </x:c>
      <x:c r="I325" s="15" t="n">
        <x:v>450408.48603300005</x:v>
      </x:c>
      <x:c r="J325" s="15" t="n">
        <x:v>6843.243814</x:v>
      </x:c>
      <x:c r="K325" s="15" t="n">
        <x:v>7470.923553</x:v>
      </x:c>
      <x:c r="L325" s="15" t="n">
        <x:v>14314.167367</x:v>
      </x:c>
      <x:c r="M325" s="15" t="n">
        <x:v>-627.6797389999992</x:v>
      </x:c>
      <x:c r="N325" s="15" t="n">
        <x:v>0.7234539089848236</x:v>
      </x:c>
      <x:c r="O325" s="15" t="n">
        <x:v>77951.12</x:v>
      </x:c>
      <x:c r="P325" s="15" t="n">
        <x:v>333469.86529</x:v>
      </x:c>
      <x:c r="Q325" s="15" t="n">
        <x:v>2165</x:v>
      </x:c>
      <x:c r="R325" s="15" t="n">
        <x:v>5.2116454390983336</x:v>
      </x:c>
      <x:c r="S325" s="15" t="n">
        <x:v>0.18674136321195078</x:v>
      </x:c>
      <x:c r="T325" s="15" t="n">
        <x:v>0.04277528256532159</x:v>
      </x:c>
      <x:c r="U325" s="15" t="n">
        <x:v>0.18621973929237035</x:v>
      </x:c>
    </x:row>
    <x:row r="326">
      <x:c r="A326" s="13" t="str">
        <x:v>all_360</x:v>
      </x:c>
      <x:c r="B326" s="36" t="n">
        <x:v>45937</x:v>
      </x:c>
      <x:c r="C326" s="36" t="n">
        <x:v>45937.083333333336</x:v>
      </x:c>
      <x:c r="D326" s="15" t="n">
        <x:v>17653.585962</x:v>
      </x:c>
      <x:c r="E326" s="15" t="n">
        <x:v>22008.963225</x:v>
      </x:c>
      <x:c r="F326" s="15" t="n">
        <x:v>39662.549187</x:v>
      </x:c>
      <x:c r="G326" s="15" t="n">
        <x:v>-4355.3772629999985</x:v>
      </x:c>
      <x:c r="H326" s="15" t="n">
        <x:v>797870.098717</x:v>
      </x:c>
      <x:c r="I326" s="15" t="n">
        <x:v>815523.6846789999</x:v>
      </x:c>
      <x:c r="J326" s="15" t="n">
        <x:v>13569.314865</x:v>
      </x:c>
      <x:c r="K326" s="15" t="n">
        <x:v>13624.644427</x:v>
      </x:c>
      <x:c r="L326" s="15" t="n">
        <x:v>27193.959292</x:v>
      </x:c>
      <x:c r="M326" s="15" t="n">
        <x:v>-55.32956199999899</x:v>
      </x:c>
      <x:c r="N326" s="15" t="n">
        <x:v>0.9597378277153644</x:v>
      </x:c>
      <x:c r="O326" s="15" t="n">
        <x:v>90175.85</x:v>
      </x:c>
      <x:c r="P326" s="15" t="n">
        <x:v>385138.68153</x:v>
      </x:c>
      <x:c r="Q326" s="15" t="n">
        <x:v>2456</x:v>
      </x:c>
      <x:c r="R326" s="15" t="n">
        <x:v>5.8543761935823335</x:v>
      </x:c>
      <x:c r="S326" s="15" t="n">
        <x:v>0.14028524666822584</x:v>
      </x:c>
      <x:c r="T326" s="15" t="n">
        <x:v>0.037616355619973785</x:v>
      </x:c>
      <x:c r="U326" s="15" t="n">
        <x:v>0.11717834544178185</x:v>
      </x:c>
    </x:row>
    <x:row r="327">
      <x:c r="A327" s="13" t="str">
        <x:v>all_360</x:v>
      </x:c>
      <x:c r="B327" s="36" t="n">
        <x:v>45937.083333333336</x:v>
      </x:c>
      <x:c r="C327" s="36" t="n">
        <x:v>45937.166666666664</x:v>
      </x:c>
      <x:c r="D327" s="15" t="n">
        <x:v>10580.062204</x:v>
      </x:c>
      <x:c r="E327" s="15" t="n">
        <x:v>12330.730410999999</x:v>
      </x:c>
      <x:c r="F327" s="15" t="n">
        <x:v>22910.792615</x:v>
      </x:c>
      <x:c r="G327" s="15" t="n">
        <x:v>-1750.6682069999988</x:v>
      </x:c>
      <x:c r="H327" s="15" t="n">
        <x:v>59660.123518</x:v>
      </x:c>
      <x:c r="I327" s="15" t="n">
        <x:v>70240.185722</x:v>
      </x:c>
      <x:c r="J327" s="15" t="n">
        <x:v>3453.112537</x:v>
      </x:c>
      <x:c r="K327" s="15" t="n">
        <x:v>18521.654415</x:v>
      </x:c>
      <x:c r="L327" s="15" t="n">
        <x:v>21974.766952</x:v>
      </x:c>
      <x:c r="M327" s="15" t="n">
        <x:v>-15068.541878</x:v>
      </x:c>
      <x:c r="N327" s="15" t="n">
        <x:v>0.6815511163337231</x:v>
      </x:c>
      <x:c r="O327" s="15" t="n">
        <x:v>56021.05</x:v>
      </x:c>
      <x:c r="P327" s="15" t="n">
        <x:v>237770.59454</x:v>
      </x:c>
      <x:c r="Q327" s="15" t="n">
        <x:v>1607</x:v>
      </x:c>
      <x:c r="R327" s="15" t="n">
        <x:v>4.524293293574555</x:v>
      </x:c>
      <x:c r="S327" s="15" t="n">
        <x:v>0.16513328615238576</x:v>
      </x:c>
      <x:c r="T327" s="15" t="n">
        <x:v>0.037423254794499705</x:v>
      </x:c>
      <x:c r="U327" s="15" t="n">
        <x:v>0.09442870632671019</x:v>
      </x:c>
    </x:row>
    <x:row r="328">
      <x:c r="A328" s="13" t="str">
        <x:v>all_360</x:v>
      </x:c>
      <x:c r="B328" s="36" t="n">
        <x:v>45937.166666666664</x:v>
      </x:c>
      <x:c r="C328" s="36" t="n">
        <x:v>45937.25</x:v>
      </x:c>
      <x:c r="D328" s="15" t="n">
        <x:v>25978.950652</x:v>
      </x:c>
      <x:c r="E328" s="15" t="n">
        <x:v>24573.033466</x:v>
      </x:c>
      <x:c r="F328" s="15" t="n">
        <x:v>50551.984118</x:v>
      </x:c>
      <x:c r="G328" s="15" t="n">
        <x:v>1405.9171859999988</x:v>
      </x:c>
      <x:c r="H328" s="15" t="n">
        <x:v>15188.936418</x:v>
      </x:c>
      <x:c r="I328" s="15" t="n">
        <x:v>41167.88707</x:v>
      </x:c>
      <x:c r="J328" s="15" t="n">
        <x:v>13010.335992999999</x:v>
      </x:c>
      <x:c r="K328" s="15" t="n">
        <x:v>6769.641074</x:v>
      </x:c>
      <x:c r="L328" s="15" t="n">
        <x:v>19779.977067</x:v>
      </x:c>
      <x:c r="M328" s="15" t="n">
        <x:v>6240.694918999999</x:v>
      </x:c>
      <x:c r="N328" s="15" t="n">
        <x:v>1.697712803584062</x:v>
      </x:c>
      <x:c r="O328" s="15" t="n">
        <x:v>127154.64</x:v>
      </x:c>
      <x:c r="P328" s="15" t="n">
        <x:v>542548.31795</x:v>
      </x:c>
      <x:c r="Q328" s="15" t="n">
        <x:v>3158</x:v>
      </x:c>
      <x:c r="R328" s="15" t="n">
        <x:v>6.373580315835192</x:v>
      </x:c>
      <x:c r="S328" s="15" t="n">
        <x:v>0.1403508771929851</x:v>
      </x:c>
      <x:c r="T328" s="15" t="n">
        <x:v>0.041469212771361175</x:v>
      </x:c>
      <x:c r="U328" s="15" t="n">
        <x:v>0.1403508771929851</x:v>
      </x:c>
    </x:row>
    <x:row r="329">
      <x:c r="A329" s="13" t="str">
        <x:v>all_360</x:v>
      </x:c>
      <x:c r="B329" s="36" t="n">
        <x:v>45937.25</x:v>
      </x:c>
      <x:c r="C329" s="36" t="n">
        <x:v>45937.333333333336</x:v>
      </x:c>
      <x:c r="D329" s="15" t="n">
        <x:v>29180.18814</x:v>
      </x:c>
      <x:c r="E329" s="15" t="n">
        <x:v>27739.333957</x:v>
      </x:c>
      <x:c r="F329" s="15" t="n">
        <x:v>56919.522096999994</x:v>
      </x:c>
      <x:c r="G329" s="15" t="n">
        <x:v>1440.8541829999995</x:v>
      </x:c>
      <x:c r="H329" s="15" t="n">
        <x:v>50115.318027</x:v>
      </x:c>
      <x:c r="I329" s="15" t="n">
        <x:v>79295.506167</x:v>
      </x:c>
      <x:c r="J329" s="15" t="n">
        <x:v>6494.777982</x:v>
      </x:c>
      <x:c r="K329" s="15" t="n">
        <x:v>37777.102275</x:v>
      </x:c>
      <x:c r="L329" s="15" t="n">
        <x:v>44271.880257</x:v>
      </x:c>
      <x:c r="M329" s="15" t="n">
        <x:v>-31282.324292999998</x:v>
      </x:c>
      <x:c r="N329" s="15" t="n">
        <x:v>1.7572633552015038</x:v>
      </x:c>
      <x:c r="O329" s="15" t="n">
        <x:v>183259.11</x:v>
      </x:c>
      <x:c r="P329" s="15" t="n">
        <x:v>773534.95236</x:v>
      </x:c>
      <x:c r="Q329" s="15" t="n">
        <x:v>4057</x:v>
      </x:c>
      <x:c r="R329" s="15" t="n">
        <x:v>6.419086536561536</x:v>
      </x:c>
      <x:c r="S329" s="15" t="n">
        <x:v>0.21337126600284861</x:v>
      </x:c>
      <x:c r="T329" s="15" t="n">
        <x:v>0.0672087639388197</x:v>
      </x:c>
      <x:c r="U329" s="15" t="n">
        <x:v>0.11896264572923698</x:v>
      </x:c>
    </x:row>
    <x:row r="330">
      <x:c r="A330" s="13" t="str">
        <x:v>all_360</x:v>
      </x:c>
      <x:c r="B330" s="36" t="n">
        <x:v>45937.333333333336</x:v>
      </x:c>
      <x:c r="C330" s="36" t="n">
        <x:v>45937.416666666664</x:v>
      </x:c>
      <x:c r="D330" s="15" t="n">
        <x:v>59564.018959999994</x:v>
      </x:c>
      <x:c r="E330" s="15" t="n">
        <x:v>61199.289889</x:v>
      </x:c>
      <x:c r="F330" s="15" t="n">
        <x:v>120763.308849</x:v>
      </x:c>
      <x:c r="G330" s="15" t="n">
        <x:v>-1635.2709290000057</x:v>
      </x:c>
      <x:c r="H330" s="15" t="n">
        <x:v>58999.791193000005</x:v>
      </x:c>
      <x:c r="I330" s="15" t="n">
        <x:v>118563.810153</x:v>
      </x:c>
      <x:c r="J330" s="15" t="n">
        <x:v>7973.997859</x:v>
      </x:c>
      <x:c r="K330" s="15" t="n">
        <x:v>28967.231877</x:v>
      </x:c>
      <x:c r="L330" s="15" t="n">
        <x:v>36941.229736</x:v>
      </x:c>
      <x:c r="M330" s="15" t="n">
        <x:v>-20993.234018</x:v>
      </x:c>
      <x:c r="N330" s="15" t="n">
        <x:v>1.1870845204178497</x:v>
      </x:c>
      <x:c r="O330" s="15" t="n">
        <x:v>284211.92</x:v>
      </x:c>
      <x:c r="P330" s="15" t="n">
        <x:v>1192797.35738</x:v>
      </x:c>
      <x:c r="Q330" s="15" t="n">
        <x:v>4294</x:v>
      </x:c>
      <x:c r="R330" s="15" t="n">
        <x:v>7.72128201553699</x:v>
      </x:c>
      <x:c r="S330" s="15" t="n">
        <x:v>0.18988844054118603</x:v>
      </x:c>
      <x:c r="T330" s="15" t="n">
        <x:v>0.09473808546833773</x:v>
      </x:c>
      <x:c r="U330" s="15" t="n">
        <x:v>0.19143335726250488</x:v>
      </x:c>
    </x:row>
    <x:row r="331">
      <x:c r="A331" s="13" t="str">
        <x:v>all_360</x:v>
      </x:c>
      <x:c r="B331" s="36" t="n">
        <x:v>45937.416666666664</x:v>
      </x:c>
      <x:c r="C331" s="36" t="n">
        <x:v>45937.5</x:v>
      </x:c>
      <x:c r="D331" s="15" t="n">
        <x:v>482626.038079</x:v>
      </x:c>
      <x:c r="E331" s="15" t="n">
        <x:v>484994.298885</x:v>
      </x:c>
      <x:c r="F331" s="15" t="n">
        <x:v>967620.336964</x:v>
      </x:c>
      <x:c r="G331" s="15" t="n">
        <x:v>-2368.2608059999766</x:v>
      </x:c>
      <x:c r="H331" s="15" t="n">
        <x:v>86378.691794</x:v>
      </x:c>
      <x:c r="I331" s="15" t="n">
        <x:v>569004.7298730001</x:v>
      </x:c>
      <x:c r="J331" s="15" t="n">
        <x:v>24271.233491</x:v>
      </x:c>
      <x:c r="K331" s="15" t="n">
        <x:v>70894.58111</x:v>
      </x:c>
      <x:c r="L331" s="15" t="n">
        <x:v>95165.81460099999</x:v>
      </x:c>
      <x:c r="M331" s="15" t="n">
        <x:v>-46623.347619</x:v>
      </x:c>
      <x:c r="N331" s="15" t="n">
        <x:v>2.167698904240119</x:v>
      </x:c>
      <x:c r="O331" s="15" t="n">
        <x:v>747979.41</x:v>
      </x:c>
      <x:c r="P331" s="15" t="n">
        <x:v>3118259.00065</x:v>
      </x:c>
      <x:c r="Q331" s="15" t="n">
        <x:v>11072</x:v>
      </x:c>
      <x:c r="R331" s="15" t="n">
        <x:v>7.227981500014757</x:v>
      </x:c>
      <x:c r="S331" s="15" t="n">
        <x:v>0.23786869647953734</x:v>
      </x:c>
      <x:c r="T331" s="15" t="n">
        <x:v>0.17111444476742843</x:v>
      </x:c>
      <x:c r="U331" s="15" t="n">
        <x:v>0.24154589371979673</x:v>
      </x:c>
    </x:row>
    <x:row r="332">
      <x:c r="A332" s="13" t="str">
        <x:v>all_360</x:v>
      </x:c>
      <x:c r="B332" s="36" t="n">
        <x:v>45937.5</x:v>
      </x:c>
      <x:c r="C332" s="36" t="n">
        <x:v>45937.583333333336</x:v>
      </x:c>
      <x:c r="D332" s="15" t="n">
        <x:v>34837.101727</x:v>
      </x:c>
      <x:c r="E332" s="15" t="n">
        <x:v>36619.153837</x:v>
      </x:c>
      <x:c r="F332" s="15" t="n">
        <x:v>71456.25556399999</x:v>
      </x:c>
      <x:c r="G332" s="15" t="n">
        <x:v>-1782.052109999997</x:v>
      </x:c>
      <x:c r="H332" s="15" t="n">
        <x:v>473863.430768</x:v>
      </x:c>
      <x:c r="I332" s="15" t="n">
        <x:v>508700.53249500005</x:v>
      </x:c>
      <x:c r="J332" s="15" t="n">
        <x:v>71399.570497</x:v>
      </x:c>
      <x:c r="K332" s="15" t="n">
        <x:v>89532.832146</x:v>
      </x:c>
      <x:c r="L332" s="15" t="n">
        <x:v>160932.402643</x:v>
      </x:c>
      <x:c r="M332" s="15" t="n">
        <x:v>-18133.261649000007</x:v>
      </x:c>
      <x:c r="N332" s="15" t="n">
        <x:v>1.777672434226124</x:v>
      </x:c>
      <x:c r="O332" s="15" t="n">
        <x:v>234889.48</x:v>
      </x:c>
      <x:c r="P332" s="15" t="n">
        <x:v>985661.41372</x:v>
      </x:c>
      <x:c r="Q332" s="15" t="n">
        <x:v>6991</x:v>
      </x:c>
      <x:c r="R332" s="15" t="n">
        <x:v>8.367847808100715</x:v>
      </x:c>
      <x:c r="S332" s="15" t="n">
        <x:v>0.18979833926453527</x:v>
      </x:c>
      <x:c r="T332" s="15" t="n">
        <x:v>0.04741583688951945</x:v>
      </x:c>
      <x:c r="U332" s="15" t="n">
        <x:v>0.16571969696971278</x:v>
      </x:c>
    </x:row>
    <x:row r="333">
      <x:c r="A333" s="13" t="str">
        <x:v>all_360</x:v>
      </x:c>
      <x:c r="B333" s="36" t="n">
        <x:v>45937.583333333336</x:v>
      </x:c>
      <x:c r="C333" s="36" t="n">
        <x:v>45937.666666666664</x:v>
      </x:c>
      <x:c r="D333" s="15" t="n">
        <x:v>87714.878236</x:v>
      </x:c>
      <x:c r="E333" s="15" t="n">
        <x:v>89821.656604</x:v>
      </x:c>
      <x:c r="F333" s="15" t="n">
        <x:v>177536.53484</x:v>
      </x:c>
      <x:c r="G333" s="15" t="n">
        <x:v>-2106.7783679999993</x:v>
      </x:c>
      <x:c r="H333" s="15" t="n">
        <x:v>976936.5066160001</x:v>
      </x:c>
      <x:c r="I333" s="15" t="n">
        <x:v>1064651.384852</x:v>
      </x:c>
      <x:c r="J333" s="15" t="n">
        <x:v>39470.852645</x:v>
      </x:c>
      <x:c r="K333" s="15" t="n">
        <x:v>99665.510436</x:v>
      </x:c>
      <x:c r="L333" s="15" t="n">
        <x:v>139136.363081</x:v>
      </x:c>
      <x:c r="M333" s="15" t="n">
        <x:v>-60194.657791</x:v>
      </x:c>
      <x:c r="N333" s="15" t="n">
        <x:v>3.751493428912785</x:v>
      </x:c>
      <x:c r="O333" s="15" t="n">
        <x:v>720314.78</x:v>
      </x:c>
      <x:c r="P333" s="15" t="n">
        <x:v>2945936.81941</x:v>
      </x:c>
      <x:c r="Q333" s="15" t="n">
        <x:v>17652</x:v>
      </x:c>
      <x:c r="R333" s="15" t="n">
        <x:v>14.570620243968978</x:v>
      </x:c>
      <x:c r="S333" s="15" t="n">
        <x:v>0.2713369511593511</x:v>
      </x:c>
      <x:c r="T333" s="15" t="n">
        <x:v>0.22260697501855775</x:v>
      </x:c>
      <x:c r="U333" s="15" t="n">
        <x:v>0.2472799208704246</x:v>
      </x:c>
    </x:row>
    <x:row r="334">
      <x:c r="A334" s="13" t="str">
        <x:v>all_360</x:v>
      </x:c>
      <x:c r="B334" s="36" t="n">
        <x:v>45937.666666666664</x:v>
      </x:c>
      <x:c r="C334" s="36" t="n">
        <x:v>45937.75</x:v>
      </x:c>
      <x:c r="D334" s="15" t="n">
        <x:v>30338.578685</x:v>
      </x:c>
      <x:c r="E334" s="15" t="n">
        <x:v>36261.333052</x:v>
      </x:c>
      <x:c r="F334" s="15" t="n">
        <x:v>66599.911737</x:v>
      </x:c>
      <x:c r="G334" s="15" t="n">
        <x:v>-5922.754367000001</x:v>
      </x:c>
      <x:c r="H334" s="15" t="n">
        <x:v>4613546.956492</x:v>
      </x:c>
      <x:c r="I334" s="15" t="n">
        <x:v>4643885.535177</x:v>
      </x:c>
      <x:c r="J334" s="15" t="n">
        <x:v>22992.654642</x:v>
      </x:c>
      <x:c r="K334" s="15" t="n">
        <x:v>20543.405254999998</x:v>
      </x:c>
      <x:c r="L334" s="15" t="n">
        <x:v>43536.059897</x:v>
      </x:c>
      <x:c r="M334" s="15" t="n">
        <x:v>2449.2493870000035</x:v>
      </x:c>
      <x:c r="N334" s="15" t="n">
        <x:v>1.4278680452978785</x:v>
      </x:c>
      <x:c r="O334" s="15" t="n">
        <x:v>290282.36</x:v>
      </x:c>
      <x:c r="P334" s="15" t="n">
        <x:v>1180220.47906</x:v>
      </x:c>
      <x:c r="Q334" s="15" t="n">
        <x:v>5932</x:v>
      </x:c>
      <x:c r="R334" s="15" t="n">
        <x:v>8.552533615525771</x:v>
      </x:c>
      <x:c r="S334" s="15" t="n">
        <x:v>0.29375764993878617</x:v>
      </x:c>
      <x:c r="T334" s="15" t="n">
        <x:v>0.14996422507778107</x:v>
      </x:c>
      <x:c r="U334" s="15" t="n">
        <x:v>0.1960303847096334</x:v>
      </x:c>
    </x:row>
    <x:row r="335">
      <x:c r="A335" s="13" t="str">
        <x:v>all_360</x:v>
      </x:c>
      <x:c r="B335" s="36" t="n">
        <x:v>45937.75</x:v>
      </x:c>
      <x:c r="C335" s="36" t="n">
        <x:v>45937.833333333336</x:v>
      </x:c>
      <x:c r="D335" s="15" t="n">
        <x:v>19706.079066</x:v>
      </x:c>
      <x:c r="E335" s="15" t="n">
        <x:v>16365.87681</x:v>
      </x:c>
      <x:c r="F335" s="15" t="n">
        <x:v>36071.955876</x:v>
      </x:c>
      <x:c r="G335" s="15" t="n">
        <x:v>3340.2022559999987</x:v>
      </x:c>
      <x:c r="H335" s="15" t="n">
        <x:v>154995.491516</x:v>
      </x:c>
      <x:c r="I335" s="15" t="n">
        <x:v>174701.57058200001</x:v>
      </x:c>
      <x:c r="J335" s="15" t="n">
        <x:v>23355.665379</x:v>
      </x:c>
      <x:c r="K335" s="15" t="n">
        <x:v>16238.469837999999</x:v>
      </x:c>
      <x:c r="L335" s="15" t="n">
        <x:v>39594.135216999995</x:v>
      </x:c>
      <x:c r="M335" s="15" t="n">
        <x:v>7117.195540999999</x:v>
      </x:c>
      <x:c r="N335" s="15" t="n">
        <x:v>0.8138101109740932</x:v>
      </x:c>
      <x:c r="O335" s="15" t="n">
        <x:v>169406.85</x:v>
      </x:c>
      <x:c r="P335" s="15" t="n">
        <x:v>687908.99353</x:v>
      </x:c>
      <x:c r="Q335" s="15" t="n">
        <x:v>3634</x:v>
      </x:c>
      <x:c r="R335" s="15" t="n">
        <x:v>6.8711231995818745</x:v>
      </x:c>
      <x:c r="S335" s="15" t="n">
        <x:v>0.14767413241445482</x:v>
      </x:c>
      <x:c r="T335" s="15" t="n">
        <x:v>0</x:v>
      </x:c>
      <x:c r="U335" s="15" t="n">
        <x:v>0.1724987678659362</x:v>
      </x:c>
    </x:row>
    <x:row r="336">
      <x:c r="A336" s="13" t="str">
        <x:v>all_360</x:v>
      </x:c>
      <x:c r="B336" s="36" t="n">
        <x:v>45937.833333333336</x:v>
      </x:c>
      <x:c r="C336" s="36" t="n">
        <x:v>45937.916666666664</x:v>
      </x:c>
      <x:c r="D336" s="15" t="n">
        <x:v>25893.436354999998</x:v>
      </x:c>
      <x:c r="E336" s="15" t="n">
        <x:v>24927.201327</x:v>
      </x:c>
      <x:c r="F336" s="15" t="n">
        <x:v>50820.637682</x:v>
      </x:c>
      <x:c r="G336" s="15" t="n">
        <x:v>966.2350279999991</x:v>
      </x:c>
      <x:c r="H336" s="15" t="n">
        <x:v>94444.039726</x:v>
      </x:c>
      <x:c r="I336" s="15" t="n">
        <x:v>120337.476081</x:v>
      </x:c>
      <x:c r="J336" s="15" t="n">
        <x:v>28733.698888</x:v>
      </x:c>
      <x:c r="K336" s="15" t="n">
        <x:v>44302.362571</x:v>
      </x:c>
      <x:c r="L336" s="15" t="n">
        <x:v>73036.06145899999</x:v>
      </x:c>
      <x:c r="M336" s="15" t="n">
        <x:v>-15568.663682999999</x:v>
      </x:c>
      <x:c r="N336" s="15" t="n">
        <x:v>0.9345794392523428</x:v>
      </x:c>
      <x:c r="O336" s="15" t="n">
        <x:v>105566.37</x:v>
      </x:c>
      <x:c r="P336" s="15" t="n">
        <x:v>431026.84356999997</x:v>
      </x:c>
      <x:c r="Q336" s="15" t="n">
        <x:v>2308</x:v>
      </x:c>
      <x:c r="R336" s="15" t="n">
        <x:v>5.73044585683935</x:v>
      </x:c>
      <x:c r="S336" s="15" t="n">
        <x:v>0.24384296513044745</x:v>
      </x:c>
      <x:c r="T336" s="15" t="n">
        <x:v>0.04894762604015224</x:v>
      </x:c>
      <x:c r="U336" s="15" t="n">
        <x:v>0.14752889107451095</x:v>
      </x:c>
    </x:row>
    <x:row r="337">
      <x:c r="A337" s="13" t="str">
        <x:v>all_360</x:v>
      </x:c>
      <x:c r="B337" s="36" t="n">
        <x:v>45937.916666666664</x:v>
      </x:c>
      <x:c r="C337" s="36" t="n">
        <x:v>45938</x:v>
      </x:c>
      <x:c r="D337" s="15" t="n">
        <x:v>6157.2162530000005</x:v>
      </x:c>
      <x:c r="E337" s="15" t="n">
        <x:v>7028.456887</x:v>
      </x:c>
      <x:c r="F337" s="15" t="n">
        <x:v>13185.67314</x:v>
      </x:c>
      <x:c r="G337" s="15" t="n">
        <x:v>-871.2406339999998</x:v>
      </x:c>
      <x:c r="H337" s="15" t="n">
        <x:v>112828.833632</x:v>
      </x:c>
      <x:c r="I337" s="15" t="n">
        <x:v>118986.049885</x:v>
      </x:c>
      <x:c r="J337" s="15" t="n">
        <x:v>4414.751301</x:v>
      </x:c>
      <x:c r="K337" s="15" t="n">
        <x:v>36590.082724</x:v>
      </x:c>
      <x:c r="L337" s="15" t="n">
        <x:v>41004.834025000004</x:v>
      </x:c>
      <x:c r="M337" s="15" t="n">
        <x:v>-32175.331423</x:v>
      </x:c>
      <x:c r="N337" s="15" t="n">
        <x:v>0.9830425165888433</x:v>
      </x:c>
      <x:c r="O337" s="15" t="n">
        <x:v>128282.85</x:v>
      </x:c>
      <x:c r="P337" s="15" t="n">
        <x:v>521753.14093</x:v>
      </x:c>
      <x:c r="Q337" s="15" t="n">
        <x:v>2602</x:v>
      </x:c>
      <x:c r="R337" s="15" t="n">
        <x:v>5.750943880209003</x:v>
      </x:c>
      <x:c r="S337" s="15" t="n">
        <x:v>0.19636720667648433</x:v>
      </x:c>
      <x:c r="T337" s="15" t="n">
        <x:v>0</x:v>
      </x:c>
      <x:c r="U337" s="15" t="n">
        <x:v>0.1476377952756014</x:v>
      </x:c>
    </x:row>
    <x:row r="338">
      <x:c r="A338" s="13" t="str">
        <x:v>all_360</x:v>
      </x:c>
      <x:c r="B338" s="36" t="n">
        <x:v>45938</x:v>
      </x:c>
      <x:c r="C338" s="36" t="n">
        <x:v>45938.083333333336</x:v>
      </x:c>
      <x:c r="D338" s="15" t="n">
        <x:v>30443.233391</x:v>
      </x:c>
      <x:c r="E338" s="15" t="n">
        <x:v>29445.167792</x:v>
      </x:c>
      <x:c r="F338" s="15" t="n">
        <x:v>59888.401183</x:v>
      </x:c>
      <x:c r="G338" s="15" t="n">
        <x:v>998.0655990000014</x:v>
      </x:c>
      <x:c r="H338" s="15" t="n">
        <x:v>53269.494033</x:v>
      </x:c>
      <x:c r="I338" s="15" t="n">
        <x:v>83712.72742400001</x:v>
      </x:c>
      <x:c r="J338" s="15" t="n">
        <x:v>26791.05439</x:v>
      </x:c>
      <x:c r="K338" s="15" t="n">
        <x:v>15217.561698</x:v>
      </x:c>
      <x:c r="L338" s="15" t="n">
        <x:v>42008.616088</x:v>
      </x:c>
      <x:c r="M338" s="15" t="n">
        <x:v>11573.492692000002</x:v>
      </x:c>
      <x:c r="N338" s="15" t="n">
        <x:v>0.9371146732429163</x:v>
      </x:c>
      <x:c r="O338" s="15" t="n">
        <x:v>83489.37</x:v>
      </x:c>
      <x:c r="P338" s="15" t="n">
        <x:v>340123.67505</x:v>
      </x:c>
      <x:c r="Q338" s="15" t="n">
        <x:v>2526</x:v>
      </x:c>
      <x:c r="R338" s="15" t="n">
        <x:v>6.134454414389334</x:v>
      </x:c>
      <x:c r="S338" s="15" t="n">
        <x:v>0.19656019656019152</x:v>
      </x:c>
      <x:c r="T338" s="15" t="n">
        <x:v>-0.013437269479044112</x:v>
      </x:c>
      <x:c r="U338" s="15" t="n">
        <x:v>0.24606299212598381</x:v>
      </x:c>
    </x:row>
    <x:row r="339">
      <x:c r="A339" s="13" t="str">
        <x:v>all_360</x:v>
      </x:c>
      <x:c r="B339" s="36" t="n">
        <x:v>45938.083333333336</x:v>
      </x:c>
      <x:c r="C339" s="36" t="n">
        <x:v>45938.166666666664</x:v>
      </x:c>
      <x:c r="D339" s="15" t="n">
        <x:v>9015.95074</x:v>
      </x:c>
      <x:c r="E339" s="15" t="n">
        <x:v>9396.017901</x:v>
      </x:c>
      <x:c r="F339" s="15" t="n">
        <x:v>18411.968641</x:v>
      </x:c>
      <x:c r="G339" s="15" t="n">
        <x:v>-380.06716099999903</x:v>
      </x:c>
      <x:c r="H339" s="15" t="n">
        <x:v>405626.43164599995</x:v>
      </x:c>
      <x:c r="I339" s="15" t="n">
        <x:v>414642.38238599995</x:v>
      </x:c>
      <x:c r="J339" s="15" t="n">
        <x:v>10017.886997</x:v>
      </x:c>
      <x:c r="K339" s="15" t="n">
        <x:v>27289.556353</x:v>
      </x:c>
      <x:c r="L339" s="15" t="n">
        <x:v>37307.44335</x:v>
      </x:c>
      <x:c r="M339" s="15" t="n">
        <x:v>-17271.669356</x:v>
      </x:c>
      <x:c r="N339" s="15" t="n">
        <x:v>1.9348518246387614</x:v>
      </x:c>
      <x:c r="O339" s="15" t="n">
        <x:v>132890.86</x:v>
      </x:c>
      <x:c r="P339" s="15" t="n">
        <x:v>537331.15396</x:v>
      </x:c>
      <x:c r="Q339" s="15" t="n">
        <x:v>3775</x:v>
      </x:c>
      <x:c r="R339" s="15" t="n">
        <x:v>7.972588000060332</x:v>
      </x:c>
      <x:c r="S339" s="15" t="n">
        <x:v>0.17412935323382062</x:v>
      </x:c>
      <x:c r="T339" s="15" t="n">
        <x:v>-0.02454590083456054</x:v>
      </x:c>
      <x:c r="U339" s="15" t="n">
        <x:v>0.1985111662531014</x:v>
      </x:c>
    </x:row>
    <x:row r="340">
      <x:c r="A340" s="13" t="str">
        <x:v>all_360</x:v>
      </x:c>
      <x:c r="B340" s="36" t="n">
        <x:v>45938.166666666664</x:v>
      </x:c>
      <x:c r="C340" s="36" t="n">
        <x:v>45938.25</x:v>
      </x:c>
      <x:c r="D340" s="15" t="n">
        <x:v>69855.157833</x:v>
      </x:c>
      <x:c r="E340" s="15" t="n">
        <x:v>63155.08604</x:v>
      </x:c>
      <x:c r="F340" s="15" t="n">
        <x:v>133010.243873</x:v>
      </x:c>
      <x:c r="G340" s="15" t="n">
        <x:v>6700.071793000003</x:v>
      </x:c>
      <x:c r="H340" s="15" t="n">
        <x:v>116613.146144</x:v>
      </x:c>
      <x:c r="I340" s="15" t="n">
        <x:v>186468.303977</x:v>
      </x:c>
      <x:c r="J340" s="15" t="n">
        <x:v>17756.764021</x:v>
      </x:c>
      <x:c r="K340" s="15" t="n">
        <x:v>8924.033552</x:v>
      </x:c>
      <x:c r="L340" s="15" t="n">
        <x:v>26680.797573</x:v>
      </x:c>
      <x:c r="M340" s="15" t="n">
        <x:v>8832.730468999998</x:v>
      </x:c>
      <x:c r="N340" s="15" t="n">
        <x:v>1.0920824025812756</x:v>
      </x:c>
      <x:c r="O340" s="15" t="n">
        <x:v>102999.09</x:v>
      </x:c>
      <x:c r="P340" s="15" t="n">
        <x:v>415997.83806</x:v>
      </x:c>
      <x:c r="Q340" s="15" t="n">
        <x:v>3185</x:v>
      </x:c>
      <x:c r="R340" s="15" t="n">
        <x:v>6.735071568569251</x:v>
      </x:c>
      <x:c r="S340" s="15" t="n">
        <x:v>0.1980198019801982</x:v>
      </x:c>
      <x:c r="T340" s="15" t="n">
        <x:v>0.040087887266815336</x:v>
      </x:c>
      <x:c r="U340" s="15" t="n">
        <x:v>0.1973846533432022</x:v>
      </x:c>
    </x:row>
    <x:row r="341">
      <x:c r="A341" s="13" t="str">
        <x:v>all_360</x:v>
      </x:c>
      <x:c r="B341" s="36" t="n">
        <x:v>45938.25</x:v>
      </x:c>
      <x:c r="C341" s="36" t="n">
        <x:v>45938.333333333336</x:v>
      </x:c>
      <x:c r="D341" s="15" t="n">
        <x:v>35239.712868</x:v>
      </x:c>
      <x:c r="E341" s="15" t="n">
        <x:v>41056.445201</x:v>
      </x:c>
      <x:c r="F341" s="15" t="n">
        <x:v>76296.158069</x:v>
      </x:c>
      <x:c r="G341" s="15" t="n">
        <x:v>-5816.732333</x:v>
      </x:c>
      <x:c r="H341" s="15" t="n">
        <x:v>27068.684889</x:v>
      </x:c>
      <x:c r="I341" s="15" t="n">
        <x:v>62308.397757</x:v>
      </x:c>
      <x:c r="J341" s="15" t="n">
        <x:v>5931.15831</x:v>
      </x:c>
      <x:c r="K341" s="15" t="n">
        <x:v>2641.1952149999997</x:v>
      </x:c>
      <x:c r="L341" s="15" t="n">
        <x:v>8572.353524999999</x:v>
      </x:c>
      <x:c r="M341" s="15" t="n">
        <x:v>3289.963095</x:v>
      </x:c>
      <x:c r="N341" s="15" t="n">
        <x:v>0.9646302250803784</x:v>
      </x:c>
      <x:c r="O341" s="15" t="n">
        <x:v>75689.12</x:v>
      </x:c>
      <x:c r="P341" s="15" t="n">
        <x:v>306553.18742</x:v>
      </x:c>
      <x:c r="Q341" s="15" t="n">
        <x:v>3052</x:v>
      </x:c>
      <x:c r="R341" s="15" t="n">
        <x:v>7.185544892618578</x:v>
      </x:c>
      <x:c r="S341" s="15" t="n">
        <x:v>0.19723865877712132</x:v>
      </x:c>
      <x:c r="T341" s="15" t="n">
        <x:v>-0.02477700693757079</x:v>
      </x:c>
      <x:c r="U341" s="15" t="n">
        <x:v>0.1724987678659362</x:v>
      </x:c>
    </x:row>
    <x:row r="342">
      <x:c r="A342" s="13" t="str">
        <x:v>all_360</x:v>
      </x:c>
      <x:c r="B342" s="36" t="n">
        <x:v>45938.333333333336</x:v>
      </x:c>
      <x:c r="C342" s="36" t="n">
        <x:v>45938.416666666664</x:v>
      </x:c>
      <x:c r="D342" s="15" t="n">
        <x:v>37951.320734</x:v>
      </x:c>
      <x:c r="E342" s="15" t="n">
        <x:v>37398.974685</x:v>
      </x:c>
      <x:c r="F342" s="15" t="n">
        <x:v>75350.295419</x:v>
      </x:c>
      <x:c r="G342" s="15" t="n">
        <x:v>552.3460489999998</x:v>
      </x:c>
      <x:c r="H342" s="15" t="n">
        <x:v>106337.153454</x:v>
      </x:c>
      <x:c r="I342" s="15" t="n">
        <x:v>144288.474188</x:v>
      </x:c>
      <x:c r="J342" s="15" t="n">
        <x:v>12986.977378</x:v>
      </x:c>
      <x:c r="K342" s="15" t="n">
        <x:v>2768.564795</x:v>
      </x:c>
      <x:c r="L342" s="15" t="n">
        <x:v>15755.542173</x:v>
      </x:c>
      <x:c r="M342" s="15" t="n">
        <x:v>10218.412583</x:v>
      </x:c>
      <x:c r="N342" s="15" t="n">
        <x:v>0.7866273352999024</x:v>
      </x:c>
      <x:c r="O342" s="15" t="n">
        <x:v>101791.61</x:v>
      </x:c>
      <x:c r="P342" s="15" t="n">
        <x:v>414603.50578</x:v>
      </x:c>
      <x:c r="Q342" s="15" t="n">
        <x:v>2494</x:v>
      </x:c>
      <x:c r="R342" s="15" t="n">
        <x:v>5.45194305481318</x:v>
      </x:c>
      <x:c r="S342" s="15" t="n">
        <x:v>0.17152658662094034</x:v>
      </x:c>
      <x:c r="T342" s="15" t="n">
        <x:v>0.04921259842519676</x:v>
      </x:c>
      <x:c r="U342" s="15" t="n">
        <x:v>0.147492625368717</x:v>
      </x:c>
    </x:row>
    <x:row r="343">
      <x:c r="A343" s="13" t="str">
        <x:v>all_360</x:v>
      </x:c>
      <x:c r="B343" s="36" t="n">
        <x:v>45938.416666666664</x:v>
      </x:c>
      <x:c r="C343" s="36" t="n">
        <x:v>45938.5</x:v>
      </x:c>
      <x:c r="D343" s="15" t="n">
        <x:v>28324.925269</x:v>
      </x:c>
      <x:c r="E343" s="15" t="n">
        <x:v>37450.648108</x:v>
      </x:c>
      <x:c r="F343" s="15" t="n">
        <x:v>65775.573377</x:v>
      </x:c>
      <x:c r="G343" s="15" t="n">
        <x:v>-9125.722839000002</x:v>
      </x:c>
      <x:c r="H343" s="15" t="n">
        <x:v>142185.073858</x:v>
      </x:c>
      <x:c r="I343" s="15" t="n">
        <x:v>170509.999127</x:v>
      </x:c>
      <x:c r="J343" s="15" t="n">
        <x:v>6462.914758</x:v>
      </x:c>
      <x:c r="K343" s="15" t="n">
        <x:v>15796.464816</x:v>
      </x:c>
      <x:c r="L343" s="15" t="n">
        <x:v>22259.379574</x:v>
      </x:c>
      <x:c r="M343" s="15" t="n">
        <x:v>-9333.550058</x:v>
      </x:c>
      <x:c r="N343" s="15" t="n">
        <x:v>0.564833005893902</x:v>
      </x:c>
      <x:c r="O343" s="15" t="n">
        <x:v>76599.84</x:v>
      </x:c>
      <x:c r="P343" s="15" t="n">
        <x:v>311946.89743</x:v>
      </x:c>
      <x:c r="Q343" s="15" t="n">
        <x:v>2210</x:v>
      </x:c>
      <x:c r="R343" s="15" t="n">
        <x:v>4.639208260077576</x:v>
      </x:c>
      <x:c r="S343" s="15" t="n">
        <x:v>0.17182130584191269</x:v>
      </x:c>
      <x:c r="T343" s="15" t="n">
        <x:v>-0.0190144096873901</x:v>
      </x:c>
      <x:c r="U343" s="15" t="n">
        <x:v>0.17177914110431125</x:v>
      </x:c>
    </x:row>
    <x:row r="344">
      <x:c r="A344" s="13" t="str">
        <x:v>all_360</x:v>
      </x:c>
      <x:c r="B344" s="36" t="n">
        <x:v>45938.5</x:v>
      </x:c>
      <x:c r="C344" s="36" t="n">
        <x:v>45938.583333333336</x:v>
      </x:c>
      <x:c r="D344" s="15" t="n">
        <x:v>29416.57157</x:v>
      </x:c>
      <x:c r="E344" s="15" t="n">
        <x:v>29728.939838</x:v>
      </x:c>
      <x:c r="F344" s="15" t="n">
        <x:v>59145.511408</x:v>
      </x:c>
      <x:c r="G344" s="15" t="n">
        <x:v>-312.36826799999835</x:v>
      </x:c>
      <x:c r="H344" s="15" t="n">
        <x:v>154420.637545</x:v>
      </x:c>
      <x:c r="I344" s="15" t="n">
        <x:v>183837.209115</x:v>
      </x:c>
      <x:c r="J344" s="15" t="n">
        <x:v>8965.283232</x:v>
      </x:c>
      <x:c r="K344" s="15" t="n">
        <x:v>7803.426341</x:v>
      </x:c>
      <x:c r="L344" s="15" t="n">
        <x:v>16768.709573</x:v>
      </x:c>
      <x:c r="M344" s="15" t="n">
        <x:v>1161.8568909999995</x:v>
      </x:c>
      <x:c r="N344" s="15" t="n">
        <x:v>1.0329562223315252</x:v>
      </x:c>
      <x:c r="O344" s="15" t="n">
        <x:v>119332.89</x:v>
      </x:c>
      <x:c r="P344" s="15" t="n">
        <x:v>486104.53872</x:v>
      </x:c>
      <x:c r="Q344" s="15" t="n">
        <x:v>3465</x:v>
      </x:c>
      <x:c r="R344" s="15" t="n">
        <x:v>7.534564394009591</x:v>
      </x:c>
      <x:c r="S344" s="15" t="n">
        <x:v>0.17194792434290784</x:v>
      </x:c>
      <x:c r="T344" s="15" t="n">
        <x:v>0</x:v>
      </x:c>
      <x:c r="U344" s="15" t="n">
        <x:v>0.14687882496940974</x:v>
      </x:c>
    </x:row>
    <x:row r="345">
      <x:c r="A345" s="13" t="str">
        <x:v>all_360</x:v>
      </x:c>
      <x:c r="B345" s="36" t="n">
        <x:v>45938.583333333336</x:v>
      </x:c>
      <x:c r="C345" s="36" t="n">
        <x:v>45938.666666666664</x:v>
      </x:c>
      <x:c r="D345" s="15" t="n">
        <x:v>85534.403556</x:v>
      </x:c>
      <x:c r="E345" s="15" t="n">
        <x:v>83148.414411</x:v>
      </x:c>
      <x:c r="F345" s="15" t="n">
        <x:v>168682.817967</x:v>
      </x:c>
      <x:c r="G345" s="15" t="n">
        <x:v>2385.9891449999996</x:v>
      </x:c>
      <x:c r="H345" s="15" t="n">
        <x:v>218348.608948</x:v>
      </x:c>
      <x:c r="I345" s="15" t="n">
        <x:v>303883.012504</x:v>
      </x:c>
      <x:c r="J345" s="15" t="n">
        <x:v>31154.475574</x:v>
      </x:c>
      <x:c r="K345" s="15" t="n">
        <x:v>16648.843806</x:v>
      </x:c>
      <x:c r="L345" s="15" t="n">
        <x:v>47803.31938</x:v>
      </x:c>
      <x:c r="M345" s="15" t="n">
        <x:v>14505.631768</x:v>
      </x:c>
      <x:c r="N345" s="15" t="n">
        <x:v>1.390243902439034</x:v>
      </x:c>
      <x:c r="O345" s="15" t="n">
        <x:v>160864.16</x:v>
      </x:c>
      <x:c r="P345" s="15" t="n">
        <x:v>662260.53767</x:v>
      </x:c>
      <x:c r="Q345" s="15" t="n">
        <x:v>4748</x:v>
      </x:c>
      <x:c r="R345" s="15" t="n">
        <x:v>8.21366224465898</x:v>
      </x:c>
      <x:c r="S345" s="15" t="n">
        <x:v>0.19493177387914784</x:v>
      </x:c>
      <x:c r="T345" s="15" t="n">
        <x:v>0.018041469794483067</x:v>
      </x:c>
      <x:c r="U345" s="15" t="n">
        <x:v>0.1458080194410738</x:v>
      </x:c>
    </x:row>
    <x:row r="346">
      <x:c r="A346" s="13" t="str">
        <x:v>all_360</x:v>
      </x:c>
      <x:c r="B346" s="36" t="n">
        <x:v>45938.666666666664</x:v>
      </x:c>
      <x:c r="C346" s="36" t="n">
        <x:v>45938.75</x:v>
      </x:c>
      <x:c r="D346" s="15" t="n">
        <x:v>111830.936908</x:v>
      </x:c>
      <x:c r="E346" s="15" t="n">
        <x:v>102806.638444</x:v>
      </x:c>
      <x:c r="F346" s="15" t="n">
        <x:v>214637.575352</x:v>
      </x:c>
      <x:c r="G346" s="15" t="n">
        <x:v>9024.298464000007</x:v>
      </x:c>
      <x:c r="H346" s="15" t="n">
        <x:v>160291.963094</x:v>
      </x:c>
      <x:c r="I346" s="15" t="n">
        <x:v>272122.90000200004</x:v>
      </x:c>
      <x:c r="J346" s="15" t="n">
        <x:v>49749.648214</x:v>
      </x:c>
      <x:c r="K346" s="15" t="n">
        <x:v>22993.011013</x:v>
      </x:c>
      <x:c r="L346" s="15" t="n">
        <x:v>72742.659227</x:v>
      </x:c>
      <x:c r="M346" s="15" t="n">
        <x:v>26756.637201</x:v>
      </x:c>
      <x:c r="N346" s="15" t="n">
        <x:v>2.3351982486013156</x:v>
      </x:c>
      <x:c r="O346" s="15" t="n">
        <x:v>261081.06</x:v>
      </x:c>
      <x:c r="P346" s="15" t="n">
        <x:v>1088399.00716</x:v>
      </x:c>
      <x:c r="Q346" s="15" t="n">
        <x:v>4654</x:v>
      </x:c>
      <x:c r="R346" s="15" t="n">
        <x:v>7.50551969269142</x:v>
      </x:c>
      <x:c r="S346" s="15" t="n">
        <x:v>0.19365770999757448</x:v>
      </x:c>
      <x:c r="T346" s="15" t="n">
        <x:v>0.012274880984119996</x:v>
      </x:c>
      <x:c r="U346" s="15" t="n">
        <x:v>0.1667063586568207</x:v>
      </x:c>
    </x:row>
    <x:row r="347">
      <x:c r="A347" s="13" t="str">
        <x:v>all_360</x:v>
      </x:c>
      <x:c r="B347" s="36" t="n">
        <x:v>45938.75</x:v>
      </x:c>
      <x:c r="C347" s="36" t="n">
        <x:v>45938.833333333336</x:v>
      </x:c>
      <x:c r="D347" s="15" t="n">
        <x:v>33554.947596</x:v>
      </x:c>
      <x:c r="E347" s="15" t="n">
        <x:v>31884.939763</x:v>
      </x:c>
      <x:c r="F347" s="15" t="n">
        <x:v>65439.887359</x:v>
      </x:c>
      <x:c r="G347" s="15" t="n">
        <x:v>1670.0078329999997</x:v>
      </x:c>
      <x:c r="H347" s="15" t="n">
        <x:v>116043.000405</x:v>
      </x:c>
      <x:c r="I347" s="15" t="n">
        <x:v>149597.94800099998</x:v>
      </x:c>
      <x:c r="J347" s="15" t="n">
        <x:v>11396.469673</x:v>
      </x:c>
      <x:c r="K347" s="15" t="n">
        <x:v>28557.261648</x:v>
      </x:c>
      <x:c r="L347" s="15" t="n">
        <x:v>39953.731321</x:v>
      </x:c>
      <x:c r="M347" s="15" t="n">
        <x:v>-17160.791975</x:v>
      </x:c>
      <x:c r="N347" s="15" t="n">
        <x:v>1.1916110581506154</x:v>
      </x:c>
      <x:c r="O347" s="15" t="n">
        <x:v>130441.63</x:v>
      </x:c>
      <x:c r="P347" s="15" t="n">
        <x:v>543884.67442</x:v>
      </x:c>
      <x:c r="Q347" s="15" t="n">
        <x:v>3617</x:v>
      </x:c>
      <x:c r="R347" s="15" t="n">
        <x:v>6.6657208963616155</x:v>
      </x:c>
      <x:c r="S347" s="15" t="n">
        <x:v>0.19038553069966602</x:v>
      </x:c>
      <x:c r="T347" s="15" t="n">
        <x:v>0.019818256381665122</x:v>
      </x:c>
      <x:c r="U347" s="15" t="n">
        <x:v>0.1439194051331083</x:v>
      </x:c>
    </x:row>
    <x:row r="348">
      <x:c r="A348" s="13" t="str">
        <x:v>all_360</x:v>
      </x:c>
      <x:c r="B348" s="36" t="n">
        <x:v>45938.833333333336</x:v>
      </x:c>
      <x:c r="C348" s="36" t="n">
        <x:v>45938.916666666664</x:v>
      </x:c>
      <x:c r="D348" s="15" t="n">
        <x:v>113010.417474</x:v>
      </x:c>
      <x:c r="E348" s="15" t="n">
        <x:v>114538.3793</x:v>
      </x:c>
      <x:c r="F348" s="15" t="n">
        <x:v>227548.796774</x:v>
      </x:c>
      <x:c r="G348" s="15" t="n">
        <x:v>-1527.9618259999988</x:v>
      </x:c>
      <x:c r="H348" s="15" t="n">
        <x:v>67151.517034</x:v>
      </x:c>
      <x:c r="I348" s="15" t="n">
        <x:v>180161.934508</x:v>
      </x:c>
      <x:c r="J348" s="15" t="n">
        <x:v>26745.880203</x:v>
      </x:c>
      <x:c r="K348" s="15" t="n">
        <x:v>11950.05452</x:v>
      </x:c>
      <x:c r="L348" s="15" t="n">
        <x:v>38695.934723</x:v>
      </x:c>
      <x:c r="M348" s="15" t="n">
        <x:v>14795.825683000001</x:v>
      </x:c>
      <x:c r="N348" s="15" t="n">
        <x:v>0.8147615624251092</x:v>
      </x:c>
      <x:c r="O348" s="15" t="n">
        <x:v>116651.05</x:v>
      </x:c>
      <x:c r="P348" s="15" t="n">
        <x:v>486756.4169</x:v>
      </x:c>
      <x:c r="Q348" s="15" t="n">
        <x:v>2684</x:v>
      </x:c>
      <x:c r="R348" s="15" t="n">
        <x:v>5.682672198214789</x:v>
      </x:c>
      <x:c r="S348" s="15" t="n">
        <x:v>0.1911132345915001</x:v>
      </x:c>
      <x:c r="T348" s="15" t="n">
        <x:v>0.0054634556908683685</x:v>
      </x:c>
      <x:c r="U348" s="15" t="n">
        <x:v>0.1672640382317736</x:v>
      </x:c>
    </x:row>
    <x:row r="349">
      <x:c r="A349" s="13" t="str">
        <x:v>all_360</x:v>
      </x:c>
      <x:c r="B349" s="36" t="n">
        <x:v>45938.916666666664</x:v>
      </x:c>
      <x:c r="C349" s="36" t="n">
        <x:v>45939</x:v>
      </x:c>
      <x:c r="D349" s="15" t="n">
        <x:v>113714.461656</x:v>
      </x:c>
      <x:c r="E349" s="15" t="n">
        <x:v>111985.45994300001</x:v>
      </x:c>
      <x:c r="F349" s="15" t="n">
        <x:v>225699.921599</x:v>
      </x:c>
      <x:c r="G349" s="15" t="n">
        <x:v>1729.0017129999906</x:v>
      </x:c>
      <x:c r="H349" s="15" t="n">
        <x:v>79073.211465</x:v>
      </x:c>
      <x:c r="I349" s="15" t="n">
        <x:v>192787.673121</x:v>
      </x:c>
      <x:c r="J349" s="15" t="n">
        <x:v>5694.711439</x:v>
      </x:c>
      <x:c r="K349" s="15" t="n">
        <x:v>20578.363814</x:v>
      </x:c>
      <x:c r="L349" s="15" t="n">
        <x:v>26273.075253</x:v>
      </x:c>
      <x:c r="M349" s="15" t="n">
        <x:v>-14883.652375000001</x:v>
      </x:c>
      <x:c r="N349" s="15" t="n">
        <x:v>0.8649687650168303</x:v>
      </x:c>
      <x:c r="O349" s="15" t="n">
        <x:v>112114.85</x:v>
      </x:c>
      <x:c r="P349" s="15" t="n">
        <x:v>468347.99423</x:v>
      </x:c>
      <x:c r="Q349" s="15" t="n">
        <x:v>2627</x:v>
      </x:c>
      <x:c r="R349" s="15" t="n">
        <x:v>5.557674534426749</x:v>
      </x:c>
      <x:c r="S349" s="15" t="n">
        <x:v>0.19175455417066445</x:v>
      </x:c>
      <x:c r="T349" s="15" t="n">
        <x:v>0.023946360153259683</x:v>
      </x:c>
      <x:c r="U349" s="15" t="n">
        <x:v>0.11996161228406965</x:v>
      </x:c>
    </x:row>
    <x:row r="350">
      <x:c r="A350" s="13" t="str">
        <x:v>all_360</x:v>
      </x:c>
      <x:c r="B350" s="36" t="n">
        <x:v>45939</x:v>
      </x:c>
      <x:c r="C350" s="36" t="n">
        <x:v>45939.083333333336</x:v>
      </x:c>
      <x:c r="D350" s="15" t="n">
        <x:v>89676.378769</x:v>
      </x:c>
      <x:c r="E350" s="15" t="n">
        <x:v>90740.112771</x:v>
      </x:c>
      <x:c r="F350" s="15" t="n">
        <x:v>180416.49154000002</x:v>
      </x:c>
      <x:c r="G350" s="15" t="n">
        <x:v>-1063.7340019999974</x:v>
      </x:c>
      <x:c r="H350" s="15" t="n">
        <x:v>244323.500922</x:v>
      </x:c>
      <x:c r="I350" s="15" t="n">
        <x:v>333999.879691</x:v>
      </x:c>
      <x:c r="J350" s="15" t="n">
        <x:v>14072.542047</x:v>
      </x:c>
      <x:c r="K350" s="15" t="n">
        <x:v>20590.508965999998</x:v>
      </x:c>
      <x:c r="L350" s="15" t="n">
        <x:v>34663.051013</x:v>
      </x:c>
      <x:c r="M350" s="15" t="n">
        <x:v>-6517.966918999997</x:v>
      </x:c>
      <x:c r="N350" s="15" t="n">
        <x:v>1.7253774263120074</x:v>
      </x:c>
      <x:c r="O350" s="15" t="n">
        <x:v>99954.33</x:v>
      </x:c>
      <x:c r="P350" s="15" t="n">
        <x:v>414354.2145</x:v>
      </x:c>
      <x:c r="Q350" s="15" t="n">
        <x:v>2608</x:v>
      </x:c>
      <x:c r="R350" s="15" t="n">
        <x:v>5.986793200110441</x:v>
      </x:c>
      <x:c r="S350" s="15" t="n">
        <x:v>0.12138868657440849</x:v>
      </x:c>
      <x:c r="T350" s="15" t="n">
        <x:v>0.04793863854265501</x:v>
      </x:c>
      <x:c r="U350" s="15" t="n">
        <x:v>0.12127091923356259</x:v>
      </x:c>
    </x:row>
    <x:row r="351">
      <x:c r="A351" s="13" t="str">
        <x:v>all_360</x:v>
      </x:c>
      <x:c r="B351" s="36" t="n">
        <x:v>45939.083333333336</x:v>
      </x:c>
      <x:c r="C351" s="36" t="n">
        <x:v>45939.166666666664</x:v>
      </x:c>
      <x:c r="D351" s="15" t="n">
        <x:v>21136.211337</x:v>
      </x:c>
      <x:c r="E351" s="15" t="n">
        <x:v>13779.138424</x:v>
      </x:c>
      <x:c r="F351" s="15" t="n">
        <x:v>34915.349761000005</x:v>
      </x:c>
      <x:c r="G351" s="15" t="n">
        <x:v>7357.072913</x:v>
      </x:c>
      <x:c r="H351" s="15" t="n">
        <x:v>76807.026006</x:v>
      </x:c>
      <x:c r="I351" s="15" t="n">
        <x:v>97943.237343</x:v>
      </x:c>
      <x:c r="J351" s="15" t="n">
        <x:v>6114.572263</x:v>
      </x:c>
      <x:c r="K351" s="15" t="n">
        <x:v>28919.014458</x:v>
      </x:c>
      <x:c r="L351" s="15" t="n">
        <x:v>35033.586721</x:v>
      </x:c>
      <x:c r="M351" s="15" t="n">
        <x:v>-22804.442195000003</x:v>
      </x:c>
      <x:c r="N351" s="15" t="n">
        <x:v>1.8410852713178418</x:v>
      </x:c>
      <x:c r="O351" s="15" t="n">
        <x:v>116707.59</x:v>
      </x:c>
      <x:c r="P351" s="15" t="n">
        <x:v>476631.3035</x:v>
      </x:c>
      <x:c r="Q351" s="15" t="n">
        <x:v>3173</x:v>
      </x:c>
      <x:c r="R351" s="15" t="n">
        <x:v>7.707967325400178</x:v>
      </x:c>
      <x:c r="S351" s="15" t="n">
        <x:v>0.21791767554477648</x:v>
      </x:c>
      <x:c r="T351" s="15" t="n">
        <x:v>0.04024089411891474</x:v>
      </x:c>
      <x:c r="U351" s="15" t="n">
        <x:v>0.14756517461879115</x:v>
      </x:c>
    </x:row>
    <x:row r="352">
      <x:c r="A352" s="13" t="str">
        <x:v>all_360</x:v>
      </x:c>
      <x:c r="B352" s="36" t="n">
        <x:v>45939.166666666664</x:v>
      </x:c>
      <x:c r="C352" s="36" t="n">
        <x:v>45939.25</x:v>
      </x:c>
      <x:c r="D352" s="15" t="n">
        <x:v>30685.021287</x:v>
      </x:c>
      <x:c r="E352" s="15" t="n">
        <x:v>30340.363818</x:v>
      </x:c>
      <x:c r="F352" s="15" t="n">
        <x:v>61025.385105</x:v>
      </x:c>
      <x:c r="G352" s="15" t="n">
        <x:v>344.65746899999795</x:v>
      </x:c>
      <x:c r="H352" s="15" t="n">
        <x:v>86694.85976</x:v>
      </x:c>
      <x:c r="I352" s="15" t="n">
        <x:v>117379.881047</x:v>
      </x:c>
      <x:c r="J352" s="15" t="n">
        <x:v>7713.432061</x:v>
      </x:c>
      <x:c r="K352" s="15" t="n">
        <x:v>15725.791244</x:v>
      </x:c>
      <x:c r="L352" s="15" t="n">
        <x:v>23439.223305</x:v>
      </x:c>
      <x:c r="M352" s="15" t="n">
        <x:v>-8012.359183</x:v>
      </x:c>
      <x:c r="N352" s="15" t="n">
        <x:v>0.7334963325183218</x:v>
      </x:c>
      <x:c r="O352" s="15" t="n">
        <x:v>73689.66</x:v>
      </x:c>
      <x:c r="P352" s="15" t="n">
        <x:v>301809.70014</x:v>
      </x:c>
      <x:c r="Q352" s="15" t="n">
        <x:v>1853</x:v>
      </x:c>
      <x:c r="R352" s="15" t="n">
        <x:v>4.958861110646184</x:v>
      </x:c>
      <x:c r="S352" s="15" t="n">
        <x:v>0.21929824561404132</x:v>
      </x:c>
      <x:c r="T352" s="15" t="n">
        <x:v>0.004952391444790205</x:v>
      </x:c>
      <x:c r="U352" s="15" t="n">
        <x:v>0.14655593551539114</x:v>
      </x:c>
    </x:row>
    <x:row r="353">
      <x:c r="A353" s="13" t="str">
        <x:v>all_360</x:v>
      </x:c>
      <x:c r="B353" s="36" t="n">
        <x:v>45939.25</x:v>
      </x:c>
      <x:c r="C353" s="36" t="n">
        <x:v>45939.333333333336</x:v>
      </x:c>
      <x:c r="D353" s="15" t="n">
        <x:v>30623.44515</x:v>
      </x:c>
      <x:c r="E353" s="15" t="n">
        <x:v>40111.169632000005</x:v>
      </x:c>
      <x:c r="F353" s="15" t="n">
        <x:v>70734.614782</x:v>
      </x:c>
      <x:c r="G353" s="15" t="n">
        <x:v>-9487.724482000005</x:v>
      </x:c>
      <x:c r="H353" s="15" t="n">
        <x:v>60217.311051000004</x:v>
      </x:c>
      <x:c r="I353" s="15" t="n">
        <x:v>90840.75620100001</x:v>
      </x:c>
      <x:c r="J353" s="15" t="n">
        <x:v>5023.127426</x:v>
      </x:c>
      <x:c r="K353" s="15" t="n">
        <x:v>13129.590153</x:v>
      </x:c>
      <x:c r="L353" s="15" t="n">
        <x:v>18152.717579</x:v>
      </x:c>
      <x:c r="M353" s="15" t="n">
        <x:v>-8106.462726999999</x:v>
      </x:c>
      <x:c r="N353" s="15" t="n">
        <x:v>0.9782342871117641</x:v>
      </x:c>
      <x:c r="O353" s="15" t="n">
        <x:v>91803.38</x:v>
      </x:c>
      <x:c r="P353" s="15" t="n">
        <x:v>373804.55804</x:v>
      </x:c>
      <x:c r="Q353" s="15" t="n">
        <x:v>2430</x:v>
      </x:c>
      <x:c r="R353" s="15" t="n">
        <x:v>6.164338997454122</x:v>
      </x:c>
      <x:c r="S353" s="15" t="n">
        <x:v>0.22026431718062955</x:v>
      </x:c>
      <x:c r="T353" s="15" t="n">
        <x:v>-0.024521824423717753</x:v>
      </x:c>
      <x:c r="U353" s="15" t="n">
        <x:v>0.09866798223977513</x:v>
      </x:c>
    </x:row>
    <x:row r="354">
      <x:c r="A354" s="13" t="str">
        <x:v>all_360</x:v>
      </x:c>
      <x:c r="B354" s="36" t="n">
        <x:v>45939.333333333336</x:v>
      </x:c>
      <x:c r="C354" s="36" t="n">
        <x:v>45939.416666666664</x:v>
      </x:c>
      <x:c r="D354" s="15" t="n">
        <x:v>54171.867264</x:v>
      </x:c>
      <x:c r="E354" s="15" t="n">
        <x:v>47267.985864</x:v>
      </x:c>
      <x:c r="F354" s="15" t="n">
        <x:v>101439.853128</x:v>
      </x:c>
      <x:c r="G354" s="15" t="n">
        <x:v>6903.881399999998</x:v>
      </x:c>
      <x:c r="H354" s="15" t="n">
        <x:v>208650.285174</x:v>
      </x:c>
      <x:c r="I354" s="15" t="n">
        <x:v>262822.15243799996</x:v>
      </x:c>
      <x:c r="J354" s="15" t="n">
        <x:v>98645.65998000001</x:v>
      </x:c>
      <x:c r="K354" s="15" t="n">
        <x:v>13023.109149</x:v>
      </x:c>
      <x:c r="L354" s="15" t="n">
        <x:v>111668.76912900001</x:v>
      </x:c>
      <x:c r="M354" s="15" t="n">
        <x:v>85622.55083100002</x:v>
      </x:c>
      <x:c r="N354" s="15" t="n">
        <x:v>1.5763546798029573</x:v>
      </x:c>
      <x:c r="O354" s="15" t="n">
        <x:v>234505.34</x:v>
      </x:c>
      <x:c r="P354" s="15" t="n">
        <x:v>944475.03719</x:v>
      </x:c>
      <x:c r="Q354" s="15" t="n">
        <x:v>6423</x:v>
      </x:c>
      <x:c r="R354" s="15" t="n">
        <x:v>9.16126784214486</x:v>
      </x:c>
      <x:c r="S354" s="15" t="n">
        <x:v>0.17465069860278515</x:v>
      </x:c>
      <x:c r="T354" s="15" t="n">
        <x:v>0.24479617853945257</x:v>
      </x:c>
      <x:c r="U354" s="15" t="n">
        <x:v>0.17465069860278515</x:v>
      </x:c>
    </x:row>
    <x:row r="355">
      <x:c r="A355" s="13" t="str">
        <x:v>all_360</x:v>
      </x:c>
      <x:c r="B355" s="36" t="n">
        <x:v>45939.416666666664</x:v>
      </x:c>
      <x:c r="C355" s="36" t="n">
        <x:v>45939.5</x:v>
      </x:c>
      <x:c r="D355" s="15" t="n">
        <x:v>71257.103373</x:v>
      </x:c>
      <x:c r="E355" s="15" t="n">
        <x:v>70255.663373</x:v>
      </x:c>
      <x:c r="F355" s="15" t="n">
        <x:v>141512.766746</x:v>
      </x:c>
      <x:c r="G355" s="15" t="n">
        <x:v>1001.4400000000023</x:v>
      </x:c>
      <x:c r="H355" s="15" t="n">
        <x:v>173554.340825</x:v>
      </x:c>
      <x:c r="I355" s="15" t="n">
        <x:v>244811.444198</x:v>
      </x:c>
      <x:c r="J355" s="15" t="n">
        <x:v>14349.909816000001</x:v>
      </x:c>
      <x:c r="K355" s="15" t="n">
        <x:v>6027.746514</x:v>
      </x:c>
      <x:c r="L355" s="15" t="n">
        <x:v>20377.65633</x:v>
      </x:c>
      <x:c r="M355" s="15" t="n">
        <x:v>8322.163302</x:v>
      </x:c>
      <x:c r="N355" s="15" t="n">
        <x:v>1.116902457185404</x:v>
      </x:c>
      <x:c r="O355" s="15" t="n">
        <x:v>212011.44</x:v>
      </x:c>
      <x:c r="P355" s="15" t="n">
        <x:v>855445.30472</x:v>
      </x:c>
      <x:c r="Q355" s="15" t="n">
        <x:v>4132</x:v>
      </x:c>
      <x:c r="R355" s="15" t="n">
        <x:v>6.664456332249613</x:v>
      </x:c>
      <x:c r="S355" s="15" t="n">
        <x:v>0.2718062762540163</x:v>
      </x:c>
      <x:c r="T355" s="15" t="n">
        <x:v>0.12394645513138514</x:v>
      </x:c>
      <x:c r="U355" s="15" t="n">
        <x:v>0.24758603614755126</x:v>
      </x:c>
    </x:row>
    <x:row r="356">
      <x:c r="A356" s="13" t="str">
        <x:v>all_360</x:v>
      </x:c>
      <x:c r="B356" s="36" t="n">
        <x:v>45939.5</x:v>
      </x:c>
      <x:c r="C356" s="36" t="n">
        <x:v>45939.583333333336</x:v>
      </x:c>
      <x:c r="D356" s="15" t="n">
        <x:v>43707.175721</x:v>
      </x:c>
      <x:c r="E356" s="15" t="n">
        <x:v>42086.655176</x:v>
      </x:c>
      <x:c r="F356" s="15" t="n">
        <x:v>85793.830897</x:v>
      </x:c>
      <x:c r="G356" s="15" t="n">
        <x:v>1620.5205449999994</x:v>
      </x:c>
      <x:c r="H356" s="15" t="n">
        <x:v>514413.276941</x:v>
      </x:c>
      <x:c r="I356" s="15" t="n">
        <x:v>558120.452662</x:v>
      </x:c>
      <x:c r="J356" s="15" t="n">
        <x:v>23658.865276</x:v>
      </x:c>
      <x:c r="K356" s="15" t="n">
        <x:v>9126.3073</x:v>
      </x:c>
      <x:c r="L356" s="15" t="n">
        <x:v>32785.172576</x:v>
      </x:c>
      <x:c r="M356" s="15" t="n">
        <x:v>14532.557976</x:v>
      </x:c>
      <x:c r="N356" s="15" t="n">
        <x:v>1.4388489208633053</x:v>
      </x:c>
      <x:c r="O356" s="15" t="n">
        <x:v>161746.78</x:v>
      </x:c>
      <x:c r="P356" s="15" t="n">
        <x:v>654904.0761899999</x:v>
      </x:c>
      <x:c r="Q356" s="15" t="n">
        <x:v>3682</x:v>
      </x:c>
      <x:c r="R356" s="15" t="n">
        <x:v>7.313288868813905</x:v>
      </x:c>
      <x:c r="S356" s="15" t="n">
        <x:v>0.17361111111110494</x:v>
      </x:c>
      <x:c r="T356" s="15" t="n">
        <x:v>0.07425742574257432</x:v>
      </x:c>
      <x:c r="U356" s="15" t="n">
        <x:v>0.17361111111110494</x:v>
      </x:c>
    </x:row>
    <x:row r="357">
      <x:c r="A357" s="13" t="str">
        <x:v>all_360</x:v>
      </x:c>
      <x:c r="B357" s="36" t="n">
        <x:v>45939.583333333336</x:v>
      </x:c>
      <x:c r="C357" s="36" t="n">
        <x:v>45939.666666666664</x:v>
      </x:c>
      <x:c r="D357" s="15" t="n">
        <x:v>50169.016677</x:v>
      </x:c>
      <x:c r="E357" s="15" t="n">
        <x:v>44885.617409</x:v>
      </x:c>
      <x:c r="F357" s="15" t="n">
        <x:v>95054.634086</x:v>
      </x:c>
      <x:c r="G357" s="15" t="n">
        <x:v>5283.399268000001</x:v>
      </x:c>
      <x:c r="H357" s="15" t="n">
        <x:v>230928.75792899998</x:v>
      </x:c>
      <x:c r="I357" s="15" t="n">
        <x:v>281097.774606</x:v>
      </x:c>
      <x:c r="J357" s="15" t="n">
        <x:v>28594.361399999998</x:v>
      </x:c>
      <x:c r="K357" s="15" t="n">
        <x:v>8762.185725</x:v>
      </x:c>
      <x:c r="L357" s="15" t="n">
        <x:v>37356.547125</x:v>
      </x:c>
      <x:c r="M357" s="15" t="n">
        <x:v>19832.175675</x:v>
      </x:c>
      <x:c r="N357" s="15" t="n">
        <x:v>1.3184079601990035</x:v>
      </x:c>
      <x:c r="O357" s="15" t="n">
        <x:v>274395.67</x:v>
      </x:c>
      <x:c r="P357" s="15" t="n">
        <x:v>1100585.5888</x:v>
      </x:c>
      <x:c r="Q357" s="15" t="n">
        <x:v>6010</x:v>
      </x:c>
      <x:c r="R357" s="15" t="n">
        <x:v>8.291178178915537</x:v>
      </x:c>
      <x:c r="S357" s="15" t="n">
        <x:v>0.17395626242543427</x:v>
      </x:c>
      <x:c r="T357" s="15" t="n">
        <x:v>-0.024673416950649063</x:v>
      </x:c>
      <x:c r="U357" s="15" t="n">
        <x:v>0.1491795126802642</x:v>
      </x:c>
    </x:row>
    <x:row r="358">
      <x:c r="A358" s="13" t="str">
        <x:v>all_360</x:v>
      </x:c>
      <x:c r="B358" s="36" t="n">
        <x:v>45939.666666666664</x:v>
      </x:c>
      <x:c r="C358" s="36" t="n">
        <x:v>45939.75</x:v>
      </x:c>
      <x:c r="D358" s="15" t="n">
        <x:v>102527.94373300001</x:v>
      </x:c>
      <x:c r="E358" s="15" t="n">
        <x:v>103606.673141</x:v>
      </x:c>
      <x:c r="F358" s="15" t="n">
        <x:v>206134.616874</x:v>
      </x:c>
      <x:c r="G358" s="15" t="n">
        <x:v>-1078.7294079999992</x:v>
      </x:c>
      <x:c r="H358" s="15" t="n">
        <x:v>219874.797262</x:v>
      </x:c>
      <x:c r="I358" s="15" t="n">
        <x:v>322402.740995</x:v>
      </x:c>
      <x:c r="J358" s="15" t="n">
        <x:v>116470.787172</x:v>
      </x:c>
      <x:c r="K358" s="15" t="n">
        <x:v>29535.296236000002</x:v>
      </x:c>
      <x:c r="L358" s="15" t="n">
        <x:v>146006.083408</x:v>
      </x:c>
      <x:c r="M358" s="15" t="n">
        <x:v>86935.49093599999</x:v>
      </x:c>
      <x:c r="N358" s="15" t="n">
        <x:v>1.4951407924246214</x:v>
      </x:c>
      <x:c r="O358" s="15" t="n">
        <x:v>249600.46</x:v>
      </x:c>
      <x:c r="P358" s="15" t="n">
        <x:v>1002255.5382600001</x:v>
      </x:c>
      <x:c r="Q358" s="15" t="n">
        <x:v>4704</x:v>
      </x:c>
      <x:c r="R358" s="15" t="n">
        <x:v>8.965186695996152</x:v>
      </x:c>
      <x:c r="S358" s="15" t="n">
        <x:v>0.19895548371051675</x:v>
      </x:c>
      <x:c r="T358" s="15" t="n">
        <x:v>-0.024937655860357566</x:v>
      </x:c>
      <x:c r="U358" s="15" t="n">
        <x:v>0.19920318725099584</x:v>
      </x:c>
    </x:row>
    <x:row r="359">
      <x:c r="A359" s="13" t="str">
        <x:v>all_360</x:v>
      </x:c>
      <x:c r="B359" s="36" t="n">
        <x:v>45939.75</x:v>
      </x:c>
      <x:c r="C359" s="36" t="n">
        <x:v>45939.833333333336</x:v>
      </x:c>
      <x:c r="D359" s="15" t="n">
        <x:v>33093.563147</x:v>
      </x:c>
      <x:c r="E359" s="15" t="n">
        <x:v>30347.15361</x:v>
      </x:c>
      <x:c r="F359" s="15" t="n">
        <x:v>63440.716757</x:v>
      </x:c>
      <x:c r="G359" s="15" t="n">
        <x:v>2746.4095369999995</x:v>
      </x:c>
      <x:c r="H359" s="15" t="n">
        <x:v>93112.711425</x:v>
      </x:c>
      <x:c r="I359" s="15" t="n">
        <x:v>126206.274572</x:v>
      </x:c>
      <x:c r="J359" s="15" t="n">
        <x:v>26934.525763999998</x:v>
      </x:c>
      <x:c r="K359" s="15" t="n">
        <x:v>29675.469764</x:v>
      </x:c>
      <x:c r="L359" s="15" t="n">
        <x:v>56609.995528</x:v>
      </x:c>
      <x:c r="M359" s="15" t="n">
        <x:v>-2740.944000000003</x:v>
      </x:c>
      <x:c r="N359" s="15" t="n">
        <x:v>0.7167572911517527</x:v>
      </x:c>
      <x:c r="O359" s="15" t="n">
        <x:v>113415.06</x:v>
      </x:c>
      <x:c r="P359" s="15" t="n">
        <x:v>458229.08606</x:v>
      </x:c>
      <x:c r="Q359" s="15" t="n">
        <x:v>2190</x:v>
      </x:c>
      <x:c r="R359" s="15" t="n">
        <x:v>5.226614344472935</x:v>
      </x:c>
      <x:c r="S359" s="15" t="n">
        <x:v>0.17348203221810854</x:v>
      </x:c>
      <x:c r="T359" s="15" t="n">
        <x:v>0.04436015414628347</x:v>
      </x:c>
      <x:c r="U359" s="15" t="n">
        <x:v>0.24764735017337447</x:v>
      </x:c>
    </x:row>
    <x:row r="360">
      <x:c r="A360" s="13" t="str">
        <x:v>all_360</x:v>
      </x:c>
      <x:c r="B360" s="36" t="n">
        <x:v>45939.833333333336</x:v>
      </x:c>
      <x:c r="C360" s="36" t="n">
        <x:v>45939.916666666664</x:v>
      </x:c>
      <x:c r="D360" s="15" t="n">
        <x:v>43488.29106</x:v>
      </x:c>
      <x:c r="E360" s="15" t="n">
        <x:v>47653.374212</x:v>
      </x:c>
      <x:c r="F360" s="15" t="n">
        <x:v>91141.66527200001</x:v>
      </x:c>
      <x:c r="G360" s="15" t="n">
        <x:v>-4165.083151999999</x:v>
      </x:c>
      <x:c r="H360" s="15" t="n">
        <x:v>80172.655187</x:v>
      </x:c>
      <x:c r="I360" s="15" t="n">
        <x:v>123660.946247</x:v>
      </x:c>
      <x:c r="J360" s="15" t="n">
        <x:v>28714.88025</x:v>
      </x:c>
      <x:c r="K360" s="15" t="n">
        <x:v>43890.492645</x:v>
      </x:c>
      <x:c r="L360" s="15" t="n">
        <x:v>72605.372895</x:v>
      </x:c>
      <x:c r="M360" s="15" t="n">
        <x:v>-15175.612395</x:v>
      </x:c>
      <x:c r="N360" s="15" t="n">
        <x:v>0.49541738915034866</x:v>
      </x:c>
      <x:c r="O360" s="15" t="n">
        <x:v>83490.83</x:v>
      </x:c>
      <x:c r="P360" s="15" t="n">
        <x:v>337299.13479</x:v>
      </x:c>
      <x:c r="Q360" s="15" t="n">
        <x:v>1669</x:v>
      </x:c>
      <x:c r="R360" s="15" t="n">
        <x:v>5.4450477696973865</x:v>
      </x:c>
      <x:c r="S360" s="15" t="n">
        <x:v>0.14851485148514865</x:v>
      </x:c>
      <x:c r="T360" s="15" t="n">
        <x:v>-0.02353809667987594</x:v>
      </x:c>
      <x:c r="U360" s="15" t="n">
        <x:v>0.14847809948033142</x:v>
      </x:c>
    </x:row>
    <x:row r="361">
      <x:c r="A361" s="13" t="str">
        <x:v>all_360</x:v>
      </x:c>
      <x:c r="B361" s="36" t="n">
        <x:v>45939.916666666664</x:v>
      </x:c>
      <x:c r="C361" s="36" t="n">
        <x:v>45940</x:v>
      </x:c>
      <x:c r="D361" s="15" t="n">
        <x:v>84851.883774</x:v>
      </x:c>
      <x:c r="E361" s="15" t="n">
        <x:v>86816.752511</x:v>
      </x:c>
      <x:c r="F361" s="15" t="n">
        <x:v>171668.63628500002</x:v>
      </x:c>
      <x:c r="G361" s="15" t="n">
        <x:v>-1964.868736999997</x:v>
      </x:c>
      <x:c r="H361" s="15" t="n">
        <x:v>172767.862577</x:v>
      </x:c>
      <x:c r="I361" s="15" t="n">
        <x:v>257619.74635099998</x:v>
      </x:c>
      <x:c r="J361" s="15" t="n">
        <x:v>17568.022198</x:v>
      </x:c>
      <x:c r="K361" s="15" t="n">
        <x:v>15721.326883999998</x:v>
      </x:c>
      <x:c r="L361" s="15" t="n">
        <x:v>33289.349082</x:v>
      </x:c>
      <x:c r="M361" s="15" t="n">
        <x:v>1846.6953140000005</x:v>
      </x:c>
      <x:c r="N361" s="15" t="n">
        <x:v>0.7409236848604654</x:v>
      </x:c>
      <x:c r="O361" s="15" t="n">
        <x:v>86825.56</x:v>
      </x:c>
      <x:c r="P361" s="15" t="n">
        <x:v>352335.23171</x:v>
      </x:c>
      <x:c r="Q361" s="15" t="n">
        <x:v>2135</x:v>
      </x:c>
      <x:c r="R361" s="15" t="n">
        <x:v>4.8066621123761255</x:v>
      </x:c>
      <x:c r="S361" s="15" t="n">
        <x:v>0.17241379310344307</x:v>
      </x:c>
      <x:c r="T361" s="15" t="n">
        <x:v>-0.01615957042140348</x:v>
      </x:c>
      <x:c r="U361" s="15" t="n">
        <x:v>0.172032440403036</x:v>
      </x:c>
    </x:row>
    <x:row r="362">
      <x:c r="A362" s="13" t="str">
        <x:v>matched_clock_30</x:v>
      </x:c>
      <x:c r="B362" s="36" t="n">
        <x:v>45910.854166666664</x:v>
      </x:c>
      <x:c r="C362" s="36" t="n">
        <x:v>45910.9375</x:v>
      </x:c>
      <x:c r="D362" s="15" t="n">
        <x:v>214184.06767299998</x:v>
      </x:c>
      <x:c r="E362" s="15" t="n">
        <x:v>215778.656488</x:v>
      </x:c>
      <x:c r="F362" s="15" t="n">
        <x:v>429962.724161</x:v>
      </x:c>
      <x:c r="G362" s="15" t="n">
        <x:v>-1594.5888150000246</x:v>
      </x:c>
      <x:c r="H362" s="15" t="n">
        <x:v>36109.565376</x:v>
      </x:c>
      <x:c r="I362" s="15" t="n">
        <x:v>250293.633049</x:v>
      </x:c>
      <x:c r="J362" s="15" t="n">
        <x:v>26319.117196</x:v>
      </x:c>
      <x:c r="K362" s="15" t="n">
        <x:v>14056.849518</x:v>
      </x:c>
      <x:c r="L362" s="15" t="n">
        <x:v>40375.966714</x:v>
      </x:c>
      <x:c r="M362" s="15" t="n">
        <x:v>12262.267677999998</x:v>
      </x:c>
      <x:c r="N362" s="15" t="n">
        <x:v>1.6584105104458506</x:v>
      </x:c>
      <x:c r="O362" s="15" t="n">
        <x:v>162523.76</x:v>
      </x:c>
      <x:c r="P362" s="15" t="n">
        <x:v>759788.51865</x:v>
      </x:c>
      <x:c r="Q362" s="15" t="n">
        <x:v>3977</x:v>
      </x:c>
      <x:c r="R362" s="15" t="n">
        <x:v>5.563289113866832</x:v>
      </x:c>
      <x:c r="S362" s="15" t="n">
        <x:v>0.1504082509669047</x:v>
      </x:c>
      <x:c r="T362" s="15" t="n">
        <x:v>0</x:v>
      </x:c>
      <x:c r="U362" s="15" t="n">
        <x:v>0.10768899418479583</x:v>
      </x:c>
    </x:row>
    <x:row r="363">
      <x:c r="A363" s="13" t="str">
        <x:v>matched_clock_30</x:v>
      </x:c>
      <x:c r="B363" s="36" t="n">
        <x:v>45911.854166666664</x:v>
      </x:c>
      <x:c r="C363" s="36" t="n">
        <x:v>45911.9375</x:v>
      </x:c>
      <x:c r="D363" s="15" t="n">
        <x:v>12287.100327</x:v>
      </x:c>
      <x:c r="E363" s="15" t="n">
        <x:v>11599.129942</x:v>
      </x:c>
      <x:c r="F363" s="15" t="n">
        <x:v>23886.230269</x:v>
      </x:c>
      <x:c r="G363" s="15" t="n">
        <x:v>687.9703850000005</x:v>
      </x:c>
      <x:c r="H363" s="15" t="n">
        <x:v>56874.718134</x:v>
      </x:c>
      <x:c r="I363" s="15" t="n">
        <x:v>69161.818461</x:v>
      </x:c>
      <x:c r="J363" s="15" t="n">
        <x:v>15662.958102</x:v>
      </x:c>
      <x:c r="K363" s="15" t="n">
        <x:v>7321.89841</x:v>
      </x:c>
      <x:c r="L363" s="15" t="n">
        <x:v>22984.856512</x:v>
      </x:c>
      <x:c r="M363" s="15" t="n">
        <x:v>8341.059692</x:v>
      </x:c>
      <x:c r="N363" s="15" t="n">
        <x:v>0.49040511727080116</x:v>
      </x:c>
      <x:c r="O363" s="15" t="n">
        <x:v>49355.63</x:v>
      </x:c>
      <x:c r="P363" s="15" t="n">
        <x:v>231646.49436</x:v>
      </x:c>
      <x:c r="Q363" s="15" t="n">
        <x:v>1770</x:v>
      </x:c>
      <x:c r="R363" s="15" t="n">
        <x:v>3.836210712856425</x:v>
      </x:c>
      <x:c r="S363" s="15" t="n">
        <x:v>0.10654165778819502</x:v>
      </x:c>
      <x:c r="T363" s="15" t="n">
        <x:v>0.012877497497243429</x:v>
      </x:c>
      <x:c r="U363" s="15" t="n">
        <x:v>0.12768674185997808</x:v>
      </x:c>
    </x:row>
    <x:row r="364">
      <x:c r="A364" s="13" t="str">
        <x:v>matched_clock_30</x:v>
      </x:c>
      <x:c r="B364" s="36" t="n">
        <x:v>45912.854166666664</x:v>
      </x:c>
      <x:c r="C364" s="36" t="n">
        <x:v>45912.9375</x:v>
      </x:c>
      <x:c r="D364" s="15" t="n">
        <x:v>213071.007275</x:v>
      </x:c>
      <x:c r="E364" s="15" t="n">
        <x:v>214021.939819</x:v>
      </x:c>
      <x:c r="F364" s="15" t="n">
        <x:v>427092.947094</x:v>
      </x:c>
      <x:c r="G364" s="15" t="n">
        <x:v>-950.9325439999811</x:v>
      </x:c>
      <x:c r="H364" s="15" t="n">
        <x:v>126018.358892</x:v>
      </x:c>
      <x:c r="I364" s="15" t="n">
        <x:v>339089.36616700003</x:v>
      </x:c>
      <x:c r="J364" s="15" t="n">
        <x:v>8250.943291</x:v>
      </x:c>
      <x:c r="K364" s="15" t="n">
        <x:v>10944.466376</x:v>
      </x:c>
      <x:c r="L364" s="15" t="n">
        <x:v>19195.409667</x:v>
      </x:c>
      <x:c r="M364" s="15" t="n">
        <x:v>-2693.5230850000007</x:v>
      </x:c>
      <x:c r="N364" s="15" t="n">
        <x:v>0.8267966928132413</x:v>
      </x:c>
      <x:c r="O364" s="15" t="n">
        <x:v>72112.74</x:v>
      </x:c>
      <x:c r="P364" s="15" t="n">
        <x:v>340819.21475</x:v>
      </x:c>
      <x:c r="Q364" s="15" t="n">
        <x:v>1916</x:v>
      </x:c>
      <x:c r="R364" s="15" t="n">
        <x:v>4.253563391776716</x:v>
      </x:c>
      <x:c r="S364" s="15" t="n">
        <x:v>0.19063757678459137</x:v>
      </x:c>
      <x:c r="T364" s="15" t="n">
        <x:v>0.02120890774124362</x:v>
      </x:c>
      <x:c r="U364" s="15" t="n">
        <x:v>0.16920473773265332</x:v>
      </x:c>
    </x:row>
    <x:row r="365">
      <x:c r="A365" s="13" t="str">
        <x:v>matched_clock_30</x:v>
      </x:c>
      <x:c r="B365" s="36" t="n">
        <x:v>45913.854166666664</x:v>
      </x:c>
      <x:c r="C365" s="36" t="n">
        <x:v>45913.9375</x:v>
      </x:c>
      <x:c r="D365" s="15" t="n">
        <x:v>29949.155299000002</x:v>
      </x:c>
      <x:c r="E365" s="15" t="n">
        <x:v>32571.975845</x:v>
      </x:c>
      <x:c r="F365" s="15" t="n">
        <x:v>62521.131144</x:v>
      </x:c>
      <x:c r="G365" s="15" t="n">
        <x:v>-2622.820545999999</x:v>
      </x:c>
      <x:c r="H365" s="15" t="n">
        <x:v>141720.841306</x:v>
      </x:c>
      <x:c r="I365" s="15" t="n">
        <x:v>171669.996605</x:v>
      </x:c>
      <x:c r="J365" s="15" t="n">
        <x:v>9427.092618</x:v>
      </x:c>
      <x:c r="K365" s="15" t="n">
        <x:v>7906.340599</x:v>
      </x:c>
      <x:c r="L365" s="15" t="n">
        <x:v>17333.433217</x:v>
      </x:c>
      <x:c r="M365" s="15" t="n">
        <x:v>1520.7520190000005</x:v>
      </x:c>
      <x:c r="N365" s="15" t="n">
        <x:v>0.5374121537825506</x:v>
      </x:c>
      <x:c r="O365" s="15" t="n">
        <x:v>76664.88</x:v>
      </x:c>
      <x:c r="P365" s="15" t="n">
        <x:v>370487.57724</x:v>
      </x:c>
      <x:c r="Q365" s="15" t="n">
        <x:v>2048</x:v>
      </x:c>
      <x:c r="R365" s="15" t="n">
        <x:v>4.2415032163916955</x:v>
      </x:c>
      <x:c r="S365" s="15" t="n">
        <x:v>0.18629683295384725</x:v>
      </x:c>
      <x:c r="T365" s="15" t="n">
        <x:v>0.06134751463572341</x:v>
      </x:c>
      <x:c r="U365" s="15" t="n">
        <x:v>0.12404382881949783</x:v>
      </x:c>
    </x:row>
    <x:row r="366">
      <x:c r="A366" s="13" t="str">
        <x:v>matched_clock_30</x:v>
      </x:c>
      <x:c r="B366" s="36" t="n">
        <x:v>45914.854166666664</x:v>
      </x:c>
      <x:c r="C366" s="36" t="n">
        <x:v>45914.9375</x:v>
      </x:c>
      <x:c r="D366" s="15" t="n">
        <x:v>18741.267118</x:v>
      </x:c>
      <x:c r="E366" s="15" t="n">
        <x:v>19035.236886</x:v>
      </x:c>
      <x:c r="F366" s="15" t="n">
        <x:v>37776.504004</x:v>
      </x:c>
      <x:c r="G366" s="15" t="n">
        <x:v>-293.969767999999</x:v>
      </x:c>
      <x:c r="H366" s="15" t="n">
        <x:v>124566.701642</x:v>
      </x:c>
      <x:c r="I366" s="15" t="n">
        <x:v>143307.96876</x:v>
      </x:c>
      <x:c r="J366" s="15" t="n">
        <x:v>6491.126081</x:v>
      </x:c>
      <x:c r="K366" s="15" t="n">
        <x:v>7246.189547</x:v>
      </x:c>
      <x:c r="L366" s="15" t="n">
        <x:v>13737.315628</x:v>
      </x:c>
      <x:c r="M366" s="15" t="n">
        <x:v>-755.0634659999996</x:v>
      </x:c>
      <x:c r="N366" s="15" t="n">
        <x:v>0.9442060085836822</x:v>
      </x:c>
      <x:c r="O366" s="15" t="n">
        <x:v>79878.68000000001</x:v>
      </x:c>
      <x:c r="P366" s="15" t="n">
        <x:v>372533.79597</x:v>
      </x:c>
      <x:c r="Q366" s="15" t="n">
        <x:v>2299</x:v>
      </x:c>
      <x:c r="R366" s="15" t="n">
        <x:v>5.0178929107738135</x:v>
      </x:c>
      <x:c r="S366" s="15" t="n">
        <x:v>0.19350677273702876</x:v>
      </x:c>
      <x:c r="T366" s="15" t="n">
        <x:v>0.007280445731039364</x:v>
      </x:c>
      <x:c r="U366" s="15" t="n">
        <x:v>0.14963659683624453</x:v>
      </x:c>
    </x:row>
    <x:row r="367">
      <x:c r="A367" s="13" t="str">
        <x:v>matched_clock_30</x:v>
      </x:c>
      <x:c r="B367" s="36" t="n">
        <x:v>45915.854166666664</x:v>
      </x:c>
      <x:c r="C367" s="36" t="n">
        <x:v>45915.9375</x:v>
      </x:c>
      <x:c r="D367" s="15" t="n">
        <x:v>183914.247357</x:v>
      </x:c>
      <x:c r="E367" s="15" t="n">
        <x:v>185197.490372</x:v>
      </x:c>
      <x:c r="F367" s="15" t="n">
        <x:v>369111.737729</x:v>
      </x:c>
      <x:c r="G367" s="15" t="n">
        <x:v>-1283.2430150000146</x:v>
      </x:c>
      <x:c r="H367" s="15" t="n">
        <x:v>126972.236992</x:v>
      </x:c>
      <x:c r="I367" s="15" t="n">
        <x:v>310886.484349</x:v>
      </x:c>
      <x:c r="J367" s="15" t="n">
        <x:v>8904.98156</x:v>
      </x:c>
      <x:c r="K367" s="15" t="n">
        <x:v>8493.78685</x:v>
      </x:c>
      <x:c r="L367" s="15" t="n">
        <x:v>17398.76841</x:v>
      </x:c>
      <x:c r="M367" s="15" t="n">
        <x:v>411.19470999999976</x:v>
      </x:c>
      <x:c r="N367" s="15" t="n">
        <x:v>0.6666666666666722</x:v>
      </x:c>
      <x:c r="O367" s="15" t="n">
        <x:v>90250.01</x:v>
      </x:c>
      <x:c r="P367" s="15" t="n">
        <x:v>407404.67775</x:v>
      </x:c>
      <x:c r="Q367" s="15" t="n">
        <x:v>1970</x:v>
      </x:c>
      <x:c r="R367" s="15" t="n">
        <x:v>4.363304100548859</x:v>
      </x:c>
      <x:c r="S367" s="15" t="n">
        <x:v>0.11086474501108556</x:v>
      </x:c>
      <x:c r="T367" s="15" t="n">
        <x:v>0</x:v>
      </x:c>
      <x:c r="U367" s="15" t="n">
        <x:v>0.1548330015483268</x:v>
      </x:c>
    </x:row>
    <x:row r="368">
      <x:c r="A368" s="13" t="str">
        <x:v>matched_clock_30</x:v>
      </x:c>
      <x:c r="B368" s="36" t="n">
        <x:v>45916.854166666664</x:v>
      </x:c>
      <x:c r="C368" s="36" t="n">
        <x:v>45916.9375</x:v>
      </x:c>
      <x:c r="D368" s="15" t="n">
        <x:v>27753.991834</x:v>
      </x:c>
      <x:c r="E368" s="15" t="n">
        <x:v>27410.185131000002</x:v>
      </x:c>
      <x:c r="F368" s="15" t="n">
        <x:v>55164.176965000006</x:v>
      </x:c>
      <x:c r="G368" s="15" t="n">
        <x:v>343.8067029999984</x:v>
      </x:c>
      <x:c r="H368" s="15" t="n">
        <x:v>50616.240316999996</x:v>
      </x:c>
      <x:c r="I368" s="15" t="n">
        <x:v>78370.232151</x:v>
      </x:c>
      <x:c r="J368" s="15" t="n">
        <x:v>26659.340906999998</x:v>
      </x:c>
      <x:c r="K368" s="15" t="n">
        <x:v>71871.745644</x:v>
      </x:c>
      <x:c r="L368" s="15" t="n">
        <x:v>98531.08655099999</x:v>
      </x:c>
      <x:c r="M368" s="15" t="n">
        <x:v>-45212.404737</x:v>
      </x:c>
      <x:c r="N368" s="15" t="n">
        <x:v>0.7899934167215181</x:v>
      </x:c>
      <x:c r="O368" s="15" t="n">
        <x:v>97917.62</x:v>
      </x:c>
      <x:c r="P368" s="15" t="n">
        <x:v>445098.288</x:v>
      </x:c>
      <x:c r="Q368" s="15" t="n">
        <x:v>2141</x:v>
      </x:c>
      <x:c r="R368" s="15" t="n">
        <x:v>4.620672182455765</x:v>
      </x:c>
      <x:c r="S368" s="15" t="n">
        <x:v>0.15364354697101623</x:v>
      </x:c>
      <x:c r="T368" s="15" t="n">
        <x:v>0.008445940013568354</x:v>
      </x:c>
      <x:c r="U368" s="15" t="n">
        <x:v>0.11032656663724216</x:v>
      </x:c>
    </x:row>
    <x:row r="369">
      <x:c r="A369" s="13" t="str">
        <x:v>matched_clock_30</x:v>
      </x:c>
      <x:c r="B369" s="36" t="n">
        <x:v>45917.854166666664</x:v>
      </x:c>
      <x:c r="C369" s="36" t="n">
        <x:v>45917.9375</x:v>
      </x:c>
      <x:c r="D369" s="15" t="n">
        <x:v>39650.701113</x:v>
      </x:c>
      <x:c r="E369" s="15" t="n">
        <x:v>38385.473909</x:v>
      </x:c>
      <x:c r="F369" s="15" t="n">
        <x:v>78036.17502200001</x:v>
      </x:c>
      <x:c r="G369" s="15" t="n">
        <x:v>1265.2272040000025</x:v>
      </x:c>
      <x:c r="H369" s="15" t="n">
        <x:v>142979.626844</x:v>
      </x:c>
      <x:c r="I369" s="15" t="n">
        <x:v>182630.327957</x:v>
      </x:c>
      <x:c r="J369" s="15" t="n">
        <x:v>20280.708527</x:v>
      </x:c>
      <x:c r="K369" s="15" t="n">
        <x:v>15055.776302</x:v>
      </x:c>
      <x:c r="L369" s="15" t="n">
        <x:v>35336.484829</x:v>
      </x:c>
      <x:c r="M369" s="15" t="n">
        <x:v>5224.932224999999</x:v>
      </x:c>
      <x:c r="N369" s="15" t="n">
        <x:v>2.0815074496056036</x:v>
      </x:c>
      <x:c r="O369" s="15" t="n">
        <x:v>161991.7</x:v>
      </x:c>
      <x:c r="P369" s="15" t="n">
        <x:v>740132.07317</x:v>
      </x:c>
      <x:c r="Q369" s="15" t="n">
        <x:v>5363</x:v>
      </x:c>
      <x:c r="R369" s="15" t="n">
        <x:v>7.6967348730123675</x:v>
      </x:c>
      <x:c r="S369" s="15" t="n">
        <x:v>0.17493986442160825</x:v>
      </x:c>
      <x:c r="T369" s="15" t="n">
        <x:v>0.1253964930894691</x:v>
      </x:c>
      <x:c r="U369" s="15" t="n">
        <x:v>0.1523063533507285</x:v>
      </x:c>
    </x:row>
    <x:row r="370">
      <x:c r="A370" s="13" t="str">
        <x:v>matched_clock_30</x:v>
      </x:c>
      <x:c r="B370" s="36" t="n">
        <x:v>45918.854166666664</x:v>
      </x:c>
      <x:c r="C370" s="36" t="n">
        <x:v>45918.9375</x:v>
      </x:c>
      <x:c r="D370" s="15" t="n">
        <x:v>94367.956712</x:v>
      </x:c>
      <x:c r="E370" s="15" t="n">
        <x:v>99190.995499</x:v>
      </x:c>
      <x:c r="F370" s="15" t="n">
        <x:v>193558.952211</x:v>
      </x:c>
      <x:c r="G370" s="15" t="n">
        <x:v>-4823.038786999998</x:v>
      </x:c>
      <x:c r="H370" s="15" t="n">
        <x:v>122387.14587600001</x:v>
      </x:c>
      <x:c r="I370" s="15" t="n">
        <x:v>216755.102588</x:v>
      </x:c>
      <x:c r="J370" s="15" t="n">
        <x:v>12290.578388</x:v>
      </x:c>
      <x:c r="K370" s="15" t="n">
        <x:v>6024.914839</x:v>
      </x:c>
      <x:c r="L370" s="15" t="n">
        <x:v>18315.493227</x:v>
      </x:c>
      <x:c r="M370" s="15" t="n">
        <x:v>6265.663549</x:v>
      </x:c>
      <x:c r="N370" s="15" t="n">
        <x:v>0.7698887938408808</x:v>
      </x:c>
      <x:c r="O370" s="15" t="n">
        <x:v>187514.38</x:v>
      </x:c>
      <x:c r="P370" s="15" t="n">
        <x:v>879760.8796399999</x:v>
      </x:c>
      <x:c r="Q370" s="15" t="n">
        <x:v>3881</x:v>
      </x:c>
      <x:c r="R370" s="15" t="n">
        <x:v>6.208774825945751</x:v>
      </x:c>
      <x:c r="S370" s="15" t="n">
        <x:v>0.12801365478984916</x:v>
      </x:c>
      <x:c r="T370" s="15" t="n">
        <x:v>0.012534592500412778</x:v>
      </x:c>
      <x:c r="U370" s="15" t="n">
        <x:v>0.12806830309497474</x:v>
      </x:c>
    </x:row>
    <x:row r="371">
      <x:c r="A371" s="13" t="str">
        <x:v>matched_clock_30</x:v>
      </x:c>
      <x:c r="B371" s="36" t="n">
        <x:v>45919.854166666664</x:v>
      </x:c>
      <x:c r="C371" s="36" t="n">
        <x:v>45919.9375</x:v>
      </x:c>
      <x:c r="D371" s="15" t="n">
        <x:v>20469.9983</x:v>
      </x:c>
      <x:c r="E371" s="15" t="n">
        <x:v>18027.118140000002</x:v>
      </x:c>
      <x:c r="F371" s="15" t="n">
        <x:v>38497.11644</x:v>
      </x:c>
      <x:c r="G371" s="15" t="n">
        <x:v>2442.880159999997</x:v>
      </x:c>
      <x:c r="H371" s="15" t="n">
        <x:v>60090.6501</x:v>
      </x:c>
      <x:c r="I371" s="15" t="n">
        <x:v>80560.6484</x:v>
      </x:c>
      <x:c r="J371" s="15" t="n">
        <x:v>5199.860095</x:v>
      </x:c>
      <x:c r="K371" s="15" t="n">
        <x:v>8619.010493</x:v>
      </x:c>
      <x:c r="L371" s="15" t="n">
        <x:v>13818.870588</x:v>
      </x:c>
      <x:c r="M371" s="15" t="n">
        <x:v>-3419.1503979999998</x:v>
      </x:c>
      <x:c r="N371" s="15" t="n">
        <x:v>0.7101642254771422</x:v>
      </x:c>
      <x:c r="O371" s="15" t="n">
        <x:v>73489.97</x:v>
      </x:c>
      <x:c r="P371" s="15" t="n">
        <x:v>330361.42485999997</x:v>
      </x:c>
      <x:c r="Q371" s="15" t="n">
        <x:v>1992</x:v>
      </x:c>
      <x:c r="R371" s="15" t="n">
        <x:v>3.9814025353554383</x:v>
      </x:c>
      <x:c r="S371" s="15" t="n">
        <x:v>0.20000000000001128</x:v>
      </x:c>
      <x:c r="T371" s="15" t="n">
        <x:v>-0.02356626666648598</x:v>
      </x:c>
      <x:c r="U371" s="15" t="n">
        <x:v>0.13351134846461</x:v>
      </x:c>
    </x:row>
    <x:row r="372">
      <x:c r="A372" s="13" t="str">
        <x:v>matched_clock_30</x:v>
      </x:c>
      <x:c r="B372" s="36" t="n">
        <x:v>45920.854166666664</x:v>
      </x:c>
      <x:c r="C372" s="36" t="n">
        <x:v>45920.9375</x:v>
      </x:c>
      <x:c r="D372" s="15" t="n">
        <x:v>35878.139206</x:v>
      </x:c>
      <x:c r="E372" s="15" t="n">
        <x:v>36703.733436</x:v>
      </x:c>
      <x:c r="F372" s="15" t="n">
        <x:v>72581.872642</x:v>
      </x:c>
      <x:c r="G372" s="15" t="n">
        <x:v>-825.5942300000024</x:v>
      </x:c>
      <x:c r="H372" s="15" t="n">
        <x:v>54695.782822</x:v>
      </x:c>
      <x:c r="I372" s="15" t="n">
        <x:v>90573.922028</x:v>
      </x:c>
      <x:c r="J372" s="15" t="n">
        <x:v>12320.947222</x:v>
      </x:c>
      <x:c r="K372" s="15" t="n">
        <x:v>9418.405812</x:v>
      </x:c>
      <x:c r="L372" s="15" t="n">
        <x:v>21739.353034</x:v>
      </x:c>
      <x:c r="M372" s="15" t="n">
        <x:v>2902.54141</x:v>
      </x:c>
      <x:c r="N372" s="15" t="n">
        <x:v>0.6737031214911151</x:v>
      </x:c>
      <x:c r="O372" s="15" t="n">
        <x:v>64732.46</x:v>
      </x:c>
      <x:c r="P372" s="15" t="n">
        <x:v>289398.85238</x:v>
      </x:c>
      <x:c r="Q372" s="15" t="n">
        <x:v>1633</x:v>
      </x:c>
      <x:c r="R372" s="15" t="n">
        <x:v>3.669129506377744</x:v>
      </x:c>
      <x:c r="S372" s="15" t="n">
        <x:v>0.13407821229048933</x:v>
      </x:c>
      <x:c r="T372" s="15" t="n">
        <x:v>-0.01982029537561658</x:v>
      </x:c>
      <x:c r="U372" s="15" t="n">
        <x:v>0.15631978561857496</x:v>
      </x:c>
    </x:row>
    <x:row r="373">
      <x:c r="A373" s="13" t="str">
        <x:v>matched_clock_30</x:v>
      </x:c>
      <x:c r="B373" s="36" t="n">
        <x:v>45921.854166666664</x:v>
      </x:c>
      <x:c r="C373" s="36" t="n">
        <x:v>45921.9375</x:v>
      </x:c>
      <x:c r="D373" s="15" t="n">
        <x:v>24329.245689</x:v>
      </x:c>
      <x:c r="E373" s="15" t="n">
        <x:v>23858.60874</x:v>
      </x:c>
      <x:c r="F373" s="15" t="n">
        <x:v>48187.854429</x:v>
      </x:c>
      <x:c r="G373" s="15" t="n">
        <x:v>470.63694899999973</x:v>
      </x:c>
      <x:c r="H373" s="15" t="n">
        <x:v>116222.549075</x:v>
      </x:c>
      <x:c r="I373" s="15" t="n">
        <x:v>140551.794764</x:v>
      </x:c>
      <x:c r="J373" s="15" t="n">
        <x:v>4751.292931999999</x:v>
      </x:c>
      <x:c r="K373" s="15" t="n">
        <x:v>7263.089799</x:v>
      </x:c>
      <x:c r="L373" s="15" t="n">
        <x:v>12014.382731</x:v>
      </x:c>
      <x:c r="M373" s="15" t="n">
        <x:v>-2511.796867000001</x:v>
      </x:c>
      <x:c r="N373" s="15" t="n">
        <x:v>0.9004952723998207</x:v>
      </x:c>
      <x:c r="O373" s="15" t="n">
        <x:v>52179.68</x:v>
      </x:c>
      <x:c r="P373" s="15" t="n">
        <x:v>230784.35019</x:v>
      </x:c>
      <x:c r="Q373" s="15" t="n">
        <x:v>1652</x:v>
      </x:c>
      <x:c r="R373" s="15" t="n">
        <x:v>4.771652490017875</x:v>
      </x:c>
      <x:c r="S373" s="15" t="n">
        <x:v>0.13565453312232023</x:v>
      </x:c>
      <x:c r="T373" s="15" t="n">
        <x:v>-0.01650770196803819</x:v>
      </x:c>
      <x:c r="U373" s="15" t="n">
        <x:v>0.20320614134117232</x:v>
      </x:c>
    </x:row>
    <x:row r="374">
      <x:c r="A374" s="13" t="str">
        <x:v>matched_clock_30</x:v>
      </x:c>
      <x:c r="B374" s="36" t="n">
        <x:v>45922.854166666664</x:v>
      </x:c>
      <x:c r="C374" s="36" t="n">
        <x:v>45922.9375</x:v>
      </x:c>
      <x:c r="D374" s="15" t="n">
        <x:v>37224.031666</x:v>
      </x:c>
      <x:c r="E374" s="15" t="n">
        <x:v>11934.780039</x:v>
      </x:c>
      <x:c r="F374" s="15" t="n">
        <x:v>49158.811705</x:v>
      </x:c>
      <x:c r="G374" s="15" t="n">
        <x:v>25289.251627000005</x:v>
      </x:c>
      <x:c r="H374" s="15" t="n">
        <x:v>46300.03314</x:v>
      </x:c>
      <x:c r="I374" s="15" t="n">
        <x:v>83524.06480600001</x:v>
      </x:c>
      <x:c r="J374" s="15" t="n">
        <x:v>31571.354213</x:v>
      </x:c>
      <x:c r="K374" s="15" t="n">
        <x:v>17335.269605</x:v>
      </x:c>
      <x:c r="L374" s="15" t="n">
        <x:v>48906.623818</x:v>
      </x:c>
      <x:c r="M374" s="15" t="n">
        <x:v>14236.084607999997</x:v>
      </x:c>
      <x:c r="N374" s="15" t="n">
        <x:v>1.2898515453881707</x:v>
      </x:c>
      <x:c r="O374" s="15" t="n">
        <x:v>99158.19</x:v>
      </x:c>
      <x:c r="P374" s="15" t="n">
        <x:v>410753.258</x:v>
      </x:c>
      <x:c r="Q374" s="15" t="n">
        <x:v>2533</x:v>
      </x:c>
      <x:c r="R374" s="15" t="n">
        <x:v>5.189086023290934</x:v>
      </x:c>
      <x:c r="S374" s="15" t="n">
        <x:v>0.2403268445085316</x:v>
      </x:c>
      <x:c r="T374" s="15" t="n">
        <x:v>0.02408477842004153</x:v>
      </x:c>
      <x:c r="U374" s="15" t="n">
        <x:v>0.16940948693126012</x:v>
      </x:c>
    </x:row>
    <x:row r="375">
      <x:c r="A375" s="13" t="str">
        <x:v>matched_clock_30</x:v>
      </x:c>
      <x:c r="B375" s="36" t="n">
        <x:v>45923.854166666664</x:v>
      </x:c>
      <x:c r="C375" s="36" t="n">
        <x:v>45923.9375</x:v>
      </x:c>
      <x:c r="D375" s="15" t="n">
        <x:v>22372.971676</x:v>
      </x:c>
      <x:c r="E375" s="15" t="n">
        <x:v>23017.652362</x:v>
      </x:c>
      <x:c r="F375" s="15" t="n">
        <x:v>45390.624038</x:v>
      </x:c>
      <x:c r="G375" s="15" t="n">
        <x:v>-644.6806859999997</x:v>
      </x:c>
      <x:c r="H375" s="15" t="n">
        <x:v>206114.395836</x:v>
      </x:c>
      <x:c r="I375" s="15" t="n">
        <x:v>228487.36751200003</x:v>
      </x:c>
      <x:c r="J375" s="15" t="n">
        <x:v>9224.345103</x:v>
      </x:c>
      <x:c r="K375" s="15" t="n">
        <x:v>10972.534165000001</x:v>
      </x:c>
      <x:c r="L375" s="15" t="n">
        <x:v>20196.879268</x:v>
      </x:c>
      <x:c r="M375" s="15" t="n">
        <x:v>-1748.1890620000013</x:v>
      </x:c>
      <x:c r="N375" s="15" t="n">
        <x:v>1.1349915479352743</x:v>
      </x:c>
      <x:c r="O375" s="15" t="n">
        <x:v>78270.97</x:v>
      </x:c>
      <x:c r="P375" s="15" t="n">
        <x:v>325104.90458</x:v>
      </x:c>
      <x:c r="Q375" s="15" t="n">
        <x:v>2875</x:v>
      </x:c>
      <x:c r="R375" s="15" t="n">
        <x:v>6.6204572600355505</x:v>
      </x:c>
      <x:c r="S375" s="15" t="n">
        <x:v>0.16774502755810827</x:v>
      </x:c>
      <x:c r="T375" s="15" t="n">
        <x:v>0</x:v>
      </x:c>
      <x:c r="U375" s="15" t="n">
        <x:v>0.16883743367099857</x:v>
      </x:c>
    </x:row>
    <x:row r="376">
      <x:c r="A376" s="13" t="str">
        <x:v>matched_clock_30</x:v>
      </x:c>
      <x:c r="B376" s="36" t="n">
        <x:v>45924.854166666664</x:v>
      </x:c>
      <x:c r="C376" s="36" t="n">
        <x:v>45924.9375</x:v>
      </x:c>
      <x:c r="D376" s="15" t="n">
        <x:v>13369.531345</x:v>
      </x:c>
      <x:c r="E376" s="15" t="n">
        <x:v>14747.777889</x:v>
      </x:c>
      <x:c r="F376" s="15" t="n">
        <x:v>28117.309234</x:v>
      </x:c>
      <x:c r="G376" s="15" t="n">
        <x:v>-1378.2465440000014</x:v>
      </x:c>
      <x:c r="H376" s="15" t="n">
        <x:v>70932.486569</x:v>
      </x:c>
      <x:c r="I376" s="15" t="n">
        <x:v>84302.017914</x:v>
      </x:c>
      <x:c r="J376" s="15" t="n">
        <x:v>7294.409067</x:v>
      </x:c>
      <x:c r="K376" s="15" t="n">
        <x:v>12180.351851</x:v>
      </x:c>
      <x:c r="L376" s="15" t="n">
        <x:v>19474.760918</x:v>
      </x:c>
      <x:c r="M376" s="15" t="n">
        <x:v>-4885.942784</x:v>
      </x:c>
      <x:c r="N376" s="15" t="n">
        <x:v>0.8868648130393078</x:v>
      </x:c>
      <x:c r="O376" s="15" t="n">
        <x:v>55547.43</x:v>
      </x:c>
      <x:c r="P376" s="15" t="n">
        <x:v>231411.58805</x:v>
      </x:c>
      <x:c r="Q376" s="15" t="n">
        <x:v>1880</x:v>
      </x:c>
      <x:c r="R376" s="15" t="n">
        <x:v>5.496137332015616</x:v>
      </x:c>
      <x:c r="S376" s="15" t="n">
        <x:v>0.16786570743404505</x:v>
      </x:c>
      <x:c r="T376" s="15" t="n">
        <x:v>-0.04793863854268832</x:v>
      </x:c>
      <x:c r="U376" s="15" t="n">
        <x:v>0.09636232233195541</x:v>
      </x:c>
    </x:row>
    <x:row r="377">
      <x:c r="A377" s="13" t="str">
        <x:v>matched_clock_30</x:v>
      </x:c>
      <x:c r="B377" s="36" t="n">
        <x:v>45925.854166666664</x:v>
      </x:c>
      <x:c r="C377" s="36" t="n">
        <x:v>45925.9375</x:v>
      </x:c>
      <x:c r="D377" s="15" t="n">
        <x:v>23285.237096</x:v>
      </x:c>
      <x:c r="E377" s="15" t="n">
        <x:v>25697.430923</x:v>
      </x:c>
      <x:c r="F377" s="15" t="n">
        <x:v>48982.668019000004</x:v>
      </x:c>
      <x:c r="G377" s="15" t="n">
        <x:v>-2412.193826999999</x:v>
      </x:c>
      <x:c r="H377" s="15" t="n">
        <x:v>2134085.6209340002</x:v>
      </x:c>
      <x:c r="I377" s="15" t="n">
        <x:v>2157370.8580300002</x:v>
      </x:c>
      <x:c r="J377" s="15" t="n">
        <x:v>12408.165725</x:v>
      </x:c>
      <x:c r="K377" s="15" t="n">
        <x:v>14600.472401</x:v>
      </x:c>
      <x:c r="L377" s="15" t="n">
        <x:v>27008.638126</x:v>
      </x:c>
      <x:c r="M377" s="15" t="n">
        <x:v>-2192.306676</x:v>
      </x:c>
      <x:c r="N377" s="15" t="n">
        <x:v>1.3892334408335414</x:v>
      </x:c>
      <x:c r="O377" s="15" t="n">
        <x:v>116556.74</x:v>
      </x:c>
      <x:c r="P377" s="15" t="n">
        <x:v>469426.55253</x:v>
      </x:c>
      <x:c r="Q377" s="15" t="n">
        <x:v>3944</x:v>
      </x:c>
      <x:c r="R377" s="15" t="n">
        <x:v>9.624071216916551</x:v>
      </x:c>
      <x:c r="S377" s="15" t="n">
        <x:v>0.32178217821782207</x:v>
      </x:c>
      <x:c r="T377" s="15" t="n">
        <x:v>-0.010004955414188998</x:v>
      </x:c>
      <x:c r="U377" s="15" t="n">
        <x:v>0.1987083954297031</x:v>
      </x:c>
    </x:row>
    <x:row r="378">
      <x:c r="A378" s="13" t="str">
        <x:v>matched_clock_30</x:v>
      </x:c>
      <x:c r="B378" s="36" t="n">
        <x:v>45926.854166666664</x:v>
      </x:c>
      <x:c r="C378" s="36" t="n">
        <x:v>45926.9375</x:v>
      </x:c>
      <x:c r="D378" s="15" t="n">
        <x:v>35122.280409</x:v>
      </x:c>
      <x:c r="E378" s="15" t="n">
        <x:v>14428.677473</x:v>
      </x:c>
      <x:c r="F378" s="15" t="n">
        <x:v>49550.957882</x:v>
      </x:c>
      <x:c r="G378" s="15" t="n">
        <x:v>20693.602936</x:v>
      </x:c>
      <x:c r="H378" s="15" t="n">
        <x:v>95057.250196</x:v>
      </x:c>
      <x:c r="I378" s="15" t="n">
        <x:v>130179.53060499999</x:v>
      </x:c>
      <x:c r="J378" s="15" t="n">
        <x:v>5743.778608</x:v>
      </x:c>
      <x:c r="K378" s="15" t="n">
        <x:v>10736.99133</x:v>
      </x:c>
      <x:c r="L378" s="15" t="n">
        <x:v>16480.769938</x:v>
      </x:c>
      <x:c r="M378" s="15" t="n">
        <x:v>-4993.212722000001</x:v>
      </x:c>
      <x:c r="N378" s="15" t="n">
        <x:v>0.6045949214026688</x:v>
      </x:c>
      <x:c r="O378" s="15" t="n">
        <x:v>85336.45</x:v>
      </x:c>
      <x:c r="P378" s="15" t="n">
        <x:v>351854.95058</x:v>
      </x:c>
      <x:c r="Q378" s="15" t="n">
        <x:v>2079</x:v>
      </x:c>
      <x:c r="R378" s="15" t="n">
        <x:v>5.871504242745673</x:v>
      </x:c>
      <x:c r="S378" s="15" t="n">
        <x:v>0.19408054342552328</x:v>
      </x:c>
      <x:c r="T378" s="15" t="n">
        <x:v>0.011634546142991198</x:v>
      </x:c>
      <x:c r="U378" s="15" t="n">
        <x:v>0.21828765462043043</x:v>
      </x:c>
    </x:row>
    <x:row r="379">
      <x:c r="A379" s="13" t="str">
        <x:v>matched_clock_30</x:v>
      </x:c>
      <x:c r="B379" s="36" t="n">
        <x:v>45927.854166666664</x:v>
      </x:c>
      <x:c r="C379" s="36" t="n">
        <x:v>45927.9375</x:v>
      </x:c>
      <x:c r="D379" s="15" t="n">
        <x:v>53572.208988</x:v>
      </x:c>
      <x:c r="E379" s="15" t="n">
        <x:v>52632.307612</x:v>
      </x:c>
      <x:c r="F379" s="15" t="n">
        <x:v>106204.5166</x:v>
      </x:c>
      <x:c r="G379" s="15" t="n">
        <x:v>939.9013760000016</x:v>
      </x:c>
      <x:c r="H379" s="15" t="n">
        <x:v>193902.770827</x:v>
      </x:c>
      <x:c r="I379" s="15" t="n">
        <x:v>247474.979815</x:v>
      </x:c>
      <x:c r="J379" s="15" t="n">
        <x:v>24505.47791</x:v>
      </x:c>
      <x:c r="K379" s="15" t="n">
        <x:v>193308.729005</x:v>
      </x:c>
      <x:c r="L379" s="15" t="n">
        <x:v>217814.206915</x:v>
      </x:c>
      <x:c r="M379" s="15" t="n">
        <x:v>-168803.251095</x:v>
      </x:c>
      <x:c r="N379" s="15" t="n">
        <x:v>1.8119490695396634</x:v>
      </x:c>
      <x:c r="O379" s="15" t="n">
        <x:v>144379.62</x:v>
      </x:c>
      <x:c r="P379" s="15" t="n">
        <x:v>594050.18721</x:v>
      </x:c>
      <x:c r="Q379" s="15" t="n">
        <x:v>2987</x:v>
      </x:c>
      <x:c r="R379" s="15" t="n">
        <x:v>5.447423492487058</x:v>
      </x:c>
      <x:c r="S379" s="15" t="n">
        <x:v>0.12215978499877655</x:v>
      </x:c>
      <x:c r="T379" s="15" t="n">
        <x:v>0</x:v>
      </x:c>
      <x:c r="U379" s="15" t="n">
        <x:v>0.12138868657440849</x:v>
      </x:c>
    </x:row>
    <x:row r="380">
      <x:c r="A380" s="13" t="str">
        <x:v>matched_clock_30</x:v>
      </x:c>
      <x:c r="B380" s="36" t="n">
        <x:v>45928.854166666664</x:v>
      </x:c>
      <x:c r="C380" s="36" t="n">
        <x:v>45928.9375</x:v>
      </x:c>
      <x:c r="D380" s="15" t="n">
        <x:v>42450.901578000005</x:v>
      </x:c>
      <x:c r="E380" s="15" t="n">
        <x:v>42804.485224000004</x:v>
      </x:c>
      <x:c r="F380" s="15" t="n">
        <x:v>85255.38680200001</x:v>
      </x:c>
      <x:c r="G380" s="15" t="n">
        <x:v>-353.58364599999913</x:v>
      </x:c>
      <x:c r="H380" s="15" t="n">
        <x:v>245599.26890700002</x:v>
      </x:c>
      <x:c r="I380" s="15" t="n">
        <x:v>288050.170485</x:v>
      </x:c>
      <x:c r="J380" s="15" t="n">
        <x:v>15100.080061</x:v>
      </x:c>
      <x:c r="K380" s="15" t="n">
        <x:v>7402.76556</x:v>
      </x:c>
      <x:c r="L380" s="15" t="n">
        <x:v>22502.845621</x:v>
      </x:c>
      <x:c r="M380" s="15" t="n">
        <x:v>7697.314501000001</x:v>
      </x:c>
      <x:c r="N380" s="15" t="n">
        <x:v>1.38081395348836</x:v>
      </x:c>
      <x:c r="O380" s="15" t="n">
        <x:v>131420.61</x:v>
      </x:c>
      <x:c r="P380" s="15" t="n">
        <x:v>545101.26408</x:v>
      </x:c>
      <x:c r="Q380" s="15" t="n">
        <x:v>2919</x:v>
      </x:c>
      <x:c r="R380" s="15" t="n">
        <x:v>5.817421341731932</x:v>
      </x:c>
      <x:c r="S380" s="15" t="n">
        <x:v>0.12077294685990392</x:v>
      </x:c>
      <x:c r="T380" s="15" t="n">
        <x:v>0.048344210780748575</x:v>
      </x:c>
      <x:c r="U380" s="15" t="n">
        <x:v>0.16774502755810827</x:v>
      </x:c>
    </x:row>
    <x:row r="381">
      <x:c r="A381" s="13" t="str">
        <x:v>matched_clock_30</x:v>
      </x:c>
      <x:c r="B381" s="36" t="n">
        <x:v>45929.854166666664</x:v>
      </x:c>
      <x:c r="C381" s="36" t="n">
        <x:v>45929.9375</x:v>
      </x:c>
      <x:c r="D381" s="15" t="n">
        <x:v>25791.959846</x:v>
      </x:c>
      <x:c r="E381" s="15" t="n">
        <x:v>26761.202428</x:v>
      </x:c>
      <x:c r="F381" s="15" t="n">
        <x:v>52553.162274</x:v>
      </x:c>
      <x:c r="G381" s="15" t="n">
        <x:v>-969.242581999999</x:v>
      </x:c>
      <x:c r="H381" s="15" t="n">
        <x:v>109680.506696</x:v>
      </x:c>
      <x:c r="I381" s="15" t="n">
        <x:v>135472.466542</x:v>
      </x:c>
      <x:c r="J381" s="15" t="n">
        <x:v>16466.238763999998</x:v>
      </x:c>
      <x:c r="K381" s="15" t="n">
        <x:v>8682.735394</x:v>
      </x:c>
      <x:c r="L381" s="15" t="n">
        <x:v>25148.974157999997</x:v>
      </x:c>
      <x:c r="M381" s="15" t="n">
        <x:v>7783.5033699999985</x:v>
      </x:c>
      <x:c r="N381" s="15" t="n">
        <x:v>0.8950169327527799</x:v>
      </x:c>
      <x:c r="O381" s="15" t="n">
        <x:v>89694.96</x:v>
      </x:c>
      <x:c r="P381" s="15" t="n">
        <x:v>372350.26608</x:v>
      </x:c>
      <x:c r="Q381" s="15" t="n">
        <x:v>2295</x:v>
      </x:c>
      <x:c r="R381" s="15" t="n">
        <x:v>4.845694787231203</x:v>
      </x:c>
      <x:c r="S381" s="15" t="n">
        <x:v>0.16867469879519037</x:v>
      </x:c>
      <x:c r="T381" s="15" t="n">
        <x:v>0.009646922631678656</x:v>
      </x:c>
      <x:c r="U381" s="15" t="n">
        <x:v>0.14499758337361834</x:v>
      </x:c>
    </x:row>
    <x:row r="382">
      <x:c r="A382" s="13" t="str">
        <x:v>matched_clock_30</x:v>
      </x:c>
      <x:c r="B382" s="36" t="n">
        <x:v>45930.854166666664</x:v>
      </x:c>
      <x:c r="C382" s="36" t="n">
        <x:v>45930.9375</x:v>
      </x:c>
      <x:c r="D382" s="15" t="n">
        <x:v>66993.149241</x:v>
      </x:c>
      <x:c r="E382" s="15" t="n">
        <x:v>64935.231172</x:v>
      </x:c>
      <x:c r="F382" s="15" t="n">
        <x:v>131928.380413</x:v>
      </x:c>
      <x:c r="G382" s="15" t="n">
        <x:v>2057.9180690000067</x:v>
      </x:c>
      <x:c r="H382" s="15" t="n">
        <x:v>703463.868167</x:v>
      </x:c>
      <x:c r="I382" s="15" t="n">
        <x:v>770457.0174080001</x:v>
      </x:c>
      <x:c r="J382" s="15" t="n">
        <x:v>42477.944008</x:v>
      </x:c>
      <x:c r="K382" s="15" t="n">
        <x:v>47411.969865</x:v>
      </x:c>
      <x:c r="L382" s="15" t="n">
        <x:v>89889.913873</x:v>
      </x:c>
      <x:c r="M382" s="15" t="n">
        <x:v>-4934.0258570000005</x:v>
      </x:c>
      <x:c r="N382" s="15" t="n">
        <x:v>0.760922925871372</x:v>
      </x:c>
      <x:c r="O382" s="15" t="n">
        <x:v>153055.49</x:v>
      </x:c>
      <x:c r="P382" s="15" t="n">
        <x:v>625833.95332</x:v>
      </x:c>
      <x:c r="Q382" s="15" t="n">
        <x:v>2577</x:v>
      </x:c>
      <x:c r="R382" s="15" t="n">
        <x:v>5.842514240540497</x:v>
      </x:c>
      <x:c r="S382" s="15" t="n">
        <x:v>0.2682272616435055</x:v>
      </x:c>
      <x:c r="T382" s="15" t="n">
        <x:v>-0.007362332606164479</x:v>
      </x:c>
      <x:c r="U382" s="15" t="n">
        <x:v>0.12245897624295621</x:v>
      </x:c>
    </x:row>
    <x:row r="383">
      <x:c r="A383" s="13" t="str">
        <x:v>matched_clock_30</x:v>
      </x:c>
      <x:c r="B383" s="36" t="n">
        <x:v>45931.854166666664</x:v>
      </x:c>
      <x:c r="C383" s="36" t="n">
        <x:v>45931.9375</x:v>
      </x:c>
      <x:c r="D383" s="15" t="n">
        <x:v>717831.452808</x:v>
      </x:c>
      <x:c r="E383" s="15" t="n">
        <x:v>735518.765565</x:v>
      </x:c>
      <x:c r="F383" s="15" t="n">
        <x:v>1453350.2183730002</x:v>
      </x:c>
      <x:c r="G383" s="15" t="n">
        <x:v>-17687.312756999978</x:v>
      </x:c>
      <x:c r="H383" s="15" t="n">
        <x:v>938725.878332</x:v>
      </x:c>
      <x:c r="I383" s="15" t="n">
        <x:v>1656557.33114</x:v>
      </x:c>
      <x:c r="J383" s="15" t="n">
        <x:v>1077426.067973</x:v>
      </x:c>
      <x:c r="K383" s="15" t="n">
        <x:v>1616885.548681</x:v>
      </x:c>
      <x:c r="L383" s="15" t="n">
        <x:v>2694311.6166540002</x:v>
      </x:c>
      <x:c r="M383" s="15" t="n">
        <x:v>-539459.480708</x:v>
      </x:c>
      <x:c r="N383" s="15" t="n">
        <x:v>2.053140096618357</x:v>
      </x:c>
      <x:c r="O383" s="15" t="n">
        <x:v>973389.07</x:v>
      </x:c>
      <x:c r="P383" s="15" t="n">
        <x:v>3991137.92343</x:v>
      </x:c>
      <x:c r="Q383" s="15" t="n">
        <x:v>15042</x:v>
      </x:c>
      <x:c r="R383" s="15" t="n">
        <x:v>9.77922214702518</x:v>
      </x:c>
      <x:c r="S383" s="15" t="n">
        <x:v>0.19579050416055344</x:v>
      </x:c>
      <x:c r="T383" s="15" t="n">
        <x:v>0.09789525208028227</x:v>
      </x:c>
      <x:c r="U383" s="15" t="n">
        <x:v>0.22021042329335438</x:v>
      </x:c>
    </x:row>
    <x:row r="384">
      <x:c r="A384" s="13" t="str">
        <x:v>matched_clock_30</x:v>
      </x:c>
      <x:c r="B384" s="36" t="n">
        <x:v>45932.854166666664</x:v>
      </x:c>
      <x:c r="C384" s="36" t="n">
        <x:v>45932.9375</x:v>
      </x:c>
      <x:c r="D384" s="15" t="n">
        <x:v>48060.96753</x:v>
      </x:c>
      <x:c r="E384" s="15" t="n">
        <x:v>45139.053879</x:v>
      </x:c>
      <x:c r="F384" s="15" t="n">
        <x:v>93200.02140900001</x:v>
      </x:c>
      <x:c r="G384" s="15" t="n">
        <x:v>2921.9136510000026</x:v>
      </x:c>
      <x:c r="H384" s="15" t="n">
        <x:v>160104.137141</x:v>
      </x:c>
      <x:c r="I384" s="15" t="n">
        <x:v>208165.104671</x:v>
      </x:c>
      <x:c r="J384" s="15" t="n">
        <x:v>14376.220233</x:v>
      </x:c>
      <x:c r="K384" s="15" t="n">
        <x:v>10338.366777</x:v>
      </x:c>
      <x:c r="L384" s="15" t="n">
        <x:v>24714.58701</x:v>
      </x:c>
      <x:c r="M384" s="15" t="n">
        <x:v>4037.8534560000007</x:v>
      </x:c>
      <x:c r="N384" s="15" t="n">
        <x:v>1.0016305613789924</x:v>
      </x:c>
      <x:c r="O384" s="15" t="n">
        <x:v>152709.24</x:v>
      </x:c>
      <x:c r="P384" s="15" t="n">
        <x:v>657372.69792</x:v>
      </x:c>
      <x:c r="Q384" s="15" t="n">
        <x:v>3436</x:v>
      </x:c>
      <x:c r="R384" s="15" t="n">
        <x:v>5.576082469198407</x:v>
      </x:c>
      <x:c r="S384" s="15" t="n">
        <x:v>0.18626309662398421</x:v>
      </x:c>
      <x:c r="T384" s="15" t="n">
        <x:v>0</x:v>
      </x:c>
      <x:c r="U384" s="15" t="n">
        <x:v>0.16245068461361312</x:v>
      </x:c>
    </x:row>
    <x:row r="385">
      <x:c r="A385" s="13" t="str">
        <x:v>matched_clock_30</x:v>
      </x:c>
      <x:c r="B385" s="36" t="n">
        <x:v>45933.854166666664</x:v>
      </x:c>
      <x:c r="C385" s="36" t="n">
        <x:v>45933.9375</x:v>
      </x:c>
      <x:c r="D385" s="15" t="n">
        <x:v>26079.23441</x:v>
      </x:c>
      <x:c r="E385" s="15" t="n">
        <x:v>31092.591437</x:v>
      </x:c>
      <x:c r="F385" s="15" t="n">
        <x:v>57171.825847</x:v>
      </x:c>
      <x:c r="G385" s="15" t="n">
        <x:v>-5013.357026999998</x:v>
      </x:c>
      <x:c r="H385" s="15" t="n">
        <x:v>419938.169162</x:v>
      </x:c>
      <x:c r="I385" s="15" t="n">
        <x:v>446017.403572</x:v>
      </x:c>
      <x:c r="J385" s="15" t="n">
        <x:v>11060.764803</x:v>
      </x:c>
      <x:c r="K385" s="15" t="n">
        <x:v>29940.751945</x:v>
      </x:c>
      <x:c r="L385" s="15" t="n">
        <x:v>41001.516748</x:v>
      </x:c>
      <x:c r="M385" s="15" t="n">
        <x:v>-18879.987141999998</x:v>
      </x:c>
      <x:c r="N385" s="15" t="n">
        <x:v>0.6267409470752121</x:v>
      </x:c>
      <x:c r="O385" s="15" t="n">
        <x:v>79421.7</x:v>
      </x:c>
      <x:c r="P385" s="15" t="n">
        <x:v>342500.54378</x:v>
      </x:c>
      <x:c r="Q385" s="15" t="n">
        <x:v>1998</x:v>
      </x:c>
      <x:c r="R385" s="15" t="n">
        <x:v>4.0816653101667155</x:v>
      </x:c>
      <x:c r="S385" s="15" t="n">
        <x:v>0.23105360443624878</x:v>
      </x:c>
      <x:c r="T385" s="15" t="n">
        <x:v>0</x:v>
      </x:c>
      <x:c r="U385" s="15" t="n">
        <x:v>0.1392434439545176</x:v>
      </x:c>
    </x:row>
    <x:row r="386">
      <x:c r="A386" s="13" t="str">
        <x:v>matched_clock_30</x:v>
      </x:c>
      <x:c r="B386" s="36" t="n">
        <x:v>45934.854166666664</x:v>
      </x:c>
      <x:c r="C386" s="36" t="n">
        <x:v>45934.9375</x:v>
      </x:c>
      <x:c r="D386" s="15" t="n">
        <x:v>9426.540495</x:v>
      </x:c>
      <x:c r="E386" s="15" t="n">
        <x:v>6875.200195</x:v>
      </x:c>
      <x:c r="F386" s="15" t="n">
        <x:v>16301.740689999999</x:v>
      </x:c>
      <x:c r="G386" s="15" t="n">
        <x:v>2551.340299999999</x:v>
      </x:c>
      <x:c r="H386" s="15" t="n">
        <x:v>145305.953095</x:v>
      </x:c>
      <x:c r="I386" s="15" t="n">
        <x:v>154732.49359</x:v>
      </x:c>
      <x:c r="J386" s="15" t="n">
        <x:v>12322.329891</x:v>
      </x:c>
      <x:c r="K386" s="15" t="n">
        <x:v>18011.266968</x:v>
      </x:c>
      <x:c r="L386" s="15" t="n">
        <x:v>30333.596858999997</x:v>
      </x:c>
      <x:c r="M386" s="15" t="n">
        <x:v>-5688.9370770000005</x:v>
      </x:c>
      <x:c r="N386" s="15" t="n">
        <x:v>0.55757575757575</x:v>
      </x:c>
      <x:c r="O386" s="15" t="n">
        <x:v>58984.32</x:v>
      </x:c>
      <x:c r="P386" s="15" t="n">
        <x:v>243495.44525</x:v>
      </x:c>
      <x:c r="Q386" s="15" t="n">
        <x:v>1386</x:v>
      </x:c>
      <x:c r="R386" s="15" t="n">
        <x:v>3.6092469071808075</x:v>
      </x:c>
      <x:c r="S386" s="15" t="n">
        <x:v>0.21791767554477648</x:v>
      </x:c>
      <x:c r="T386" s="15" t="n">
        <x:v>-0.036341611144741215</x:v>
      </x:c>
      <x:c r="U386" s="15" t="n">
        <x:v>0.14513788098694524</x:v>
      </x:c>
    </x:row>
    <x:row r="387">
      <x:c r="A387" s="13" t="str">
        <x:v>matched_clock_30</x:v>
      </x:c>
      <x:c r="B387" s="36" t="n">
        <x:v>45935.854166666664</x:v>
      </x:c>
      <x:c r="C387" s="36" t="n">
        <x:v>45935.9375</x:v>
      </x:c>
      <x:c r="D387" s="15" t="n">
        <x:v>7110.762251</x:v>
      </x:c>
      <x:c r="E387" s="15" t="n">
        <x:v>6761.351014</x:v>
      </x:c>
      <x:c r="F387" s="15" t="n">
        <x:v>13872.113265</x:v>
      </x:c>
      <x:c r="G387" s="15" t="n">
        <x:v>349.41123700000026</x:v>
      </x:c>
      <x:c r="H387" s="15" t="n">
        <x:v>146885.756136</x:v>
      </x:c>
      <x:c r="I387" s="15" t="n">
        <x:v>153996.51838700002</x:v>
      </x:c>
      <x:c r="J387" s="15" t="n">
        <x:v>14027.819532</x:v>
      </x:c>
      <x:c r="K387" s="15" t="n">
        <x:v>11168.635388</x:v>
      </x:c>
      <x:c r="L387" s="15" t="n">
        <x:v>25196.45492</x:v>
      </x:c>
      <x:c r="M387" s="15" t="n">
        <x:v>2859.184143999999</x:v>
      </x:c>
      <x:c r="N387" s="15" t="n">
        <x:v>0.7714561234329804</x:v>
      </x:c>
      <x:c r="O387" s="15" t="n">
        <x:v>65414.84</x:v>
      </x:c>
      <x:c r="P387" s="15" t="n">
        <x:v>271437.19036</x:v>
      </x:c>
      <x:c r="Q387" s="15" t="n">
        <x:v>2219</x:v>
      </x:c>
      <x:c r="R387" s="15" t="n">
        <x:v>5.76153632976395</x:v>
      </x:c>
      <x:c r="S387" s="15" t="n">
        <x:v>0.14468290330359457</x:v>
      </x:c>
      <x:c r="T387" s="15" t="n">
        <x:v>0</x:v>
      </x:c>
      <x:c r="U387" s="15" t="n">
        <x:v>0.12045290291495814</x:v>
      </x:c>
    </x:row>
    <x:row r="388">
      <x:c r="A388" s="13" t="str">
        <x:v>matched_clock_30</x:v>
      </x:c>
      <x:c r="B388" s="36" t="n">
        <x:v>45936.854166666664</x:v>
      </x:c>
      <x:c r="C388" s="36" t="n">
        <x:v>45936.9375</x:v>
      </x:c>
      <x:c r="D388" s="15" t="n">
        <x:v>22232.719908</x:v>
      </x:c>
      <x:c r="E388" s="15" t="n">
        <x:v>21667.876569</x:v>
      </x:c>
      <x:c r="F388" s="15" t="n">
        <x:v>43900.596477</x:v>
      </x:c>
      <x:c r="G388" s="15" t="n">
        <x:v>564.8433389999991</x:v>
      </x:c>
      <x:c r="H388" s="15" t="n">
        <x:v>113556.570778</x:v>
      </x:c>
      <x:c r="I388" s="15" t="n">
        <x:v>135789.290686</x:v>
      </x:c>
      <x:c r="J388" s="15" t="n">
        <x:v>17596.675548</x:v>
      </x:c>
      <x:c r="K388" s="15" t="n">
        <x:v>26538.383825</x:v>
      </x:c>
      <x:c r="L388" s="15" t="n">
        <x:v>44135.059373</x:v>
      </x:c>
      <x:c r="M388" s="15" t="n">
        <x:v>-8941.708277000002</x:v>
      </x:c>
      <x:c r="N388" s="15" t="n">
        <x:v>0.7697690692792247</x:v>
      </x:c>
      <x:c r="O388" s="15" t="n">
        <x:v>96806.58</x:v>
      </x:c>
      <x:c r="P388" s="15" t="n">
        <x:v>414325.95427</x:v>
      </x:c>
      <x:c r="Q388" s="15" t="n">
        <x:v>2256</x:v>
      </x:c>
      <x:c r="R388" s="15" t="n">
        <x:v>5.6060591604166765</x:v>
      </x:c>
      <x:c r="S388" s="15" t="n">
        <x:v>0.13992537313433084</x:v>
      </x:c>
      <x:c r="T388" s="15" t="n">
        <x:v>0.04676174888940121</x:v>
      </x:c>
      <x:c r="U388" s="15" t="n">
        <x:v>0.18621973929237035</x:v>
      </x:c>
    </x:row>
    <x:row r="389">
      <x:c r="A389" s="13" t="str">
        <x:v>matched_clock_30</x:v>
      </x:c>
      <x:c r="B389" s="36" t="n">
        <x:v>45937.854166666664</x:v>
      </x:c>
      <x:c r="C389" s="36" t="n">
        <x:v>45937.9375</x:v>
      </x:c>
      <x:c r="D389" s="15" t="n">
        <x:v>12630.864282999999</x:v>
      </x:c>
      <x:c r="E389" s="15" t="n">
        <x:v>14849.403492</x:v>
      </x:c>
      <x:c r="F389" s="15" t="n">
        <x:v>27480.267775</x:v>
      </x:c>
      <x:c r="G389" s="15" t="n">
        <x:v>-2218.5392090000005</x:v>
      </x:c>
      <x:c r="H389" s="15" t="n">
        <x:v>54621.401261</x:v>
      </x:c>
      <x:c r="I389" s="15" t="n">
        <x:v>67252.265544</x:v>
      </x:c>
      <x:c r="J389" s="15" t="n">
        <x:v>22032.395172</x:v>
      </x:c>
      <x:c r="K389" s="15" t="n">
        <x:v>48094.676206</x:v>
      </x:c>
      <x:c r="L389" s="15" t="n">
        <x:v>70127.071378</x:v>
      </x:c>
      <x:c r="M389" s="15" t="n">
        <x:v>-26062.281033999996</x:v>
      </x:c>
      <x:c r="N389" s="15" t="n">
        <x:v>0.9775171065493656</x:v>
      </x:c>
      <x:c r="O389" s="15" t="n">
        <x:v>87631.71</x:v>
      </x:c>
      <x:c r="P389" s="15" t="n">
        <x:v>357604.73461</x:v>
      </x:c>
      <x:c r="Q389" s="15" t="n">
        <x:v>1975</x:v>
      </x:c>
      <x:c r="R389" s="15" t="n">
        <x:v>5.464910256174305</x:v>
      </x:c>
      <x:c r="S389" s="15" t="n">
        <x:v>0.24384296513044745</x:v>
      </x:c>
      <x:c r="T389" s="15" t="n">
        <x:v>0.04894762604015224</x:v>
      </x:c>
      <x:c r="U389" s="15" t="n">
        <x:v>0.14752889107451095</x:v>
      </x:c>
    </x:row>
    <x:row r="390">
      <x:c r="A390" s="13" t="str">
        <x:v>matched_clock_30</x:v>
      </x:c>
      <x:c r="B390" s="36" t="n">
        <x:v>45938.854166666664</x:v>
      </x:c>
      <x:c r="C390" s="36" t="n">
        <x:v>45938.9375</x:v>
      </x:c>
      <x:c r="D390" s="15" t="n">
        <x:v>160383.051917</x:v>
      </x:c>
      <x:c r="E390" s="15" t="n">
        <x:v>149918.94388</x:v>
      </x:c>
      <x:c r="F390" s="15" t="n">
        <x:v>310301.995797</x:v>
      </x:c>
      <x:c r="G390" s="15" t="n">
        <x:v>10464.108036999998</x:v>
      </x:c>
      <x:c r="H390" s="15" t="n">
        <x:v>90587.180724</x:v>
      </x:c>
      <x:c r="I390" s="15" t="n">
        <x:v>250970.232641</x:v>
      </x:c>
      <x:c r="J390" s="15" t="n">
        <x:v>27013.107999</x:v>
      </x:c>
      <x:c r="K390" s="15" t="n">
        <x:v>13480.358788</x:v>
      </x:c>
      <x:c r="L390" s="15" t="n">
        <x:v>40493.466787</x:v>
      </x:c>
      <x:c r="M390" s="15" t="n">
        <x:v>13532.749211</x:v>
      </x:c>
      <x:c r="N390" s="15" t="n">
        <x:v>0.8137865007180424</x:v>
      </x:c>
      <x:c r="O390" s="15" t="n">
        <x:v>110877.33</x:v>
      </x:c>
      <x:c r="P390" s="15" t="n">
        <x:v>462683.61871</x:v>
      </x:c>
      <x:c r="Q390" s="15" t="n">
        <x:v>2541</x:v>
      </x:c>
      <x:c r="R390" s="15" t="n">
        <x:v>5.371894889381013</x:v>
      </x:c>
      <x:c r="S390" s="15" t="n">
        <x:v>0.1911132345915001</x:v>
      </x:c>
      <x:c r="T390" s="15" t="n">
        <x:v>0.0054634556908683685</x:v>
      </x:c>
      <x:c r="U390" s="15" t="n">
        <x:v>0.1672640382317736</x:v>
      </x:c>
    </x:row>
    <x:row r="391">
      <x:c r="A391" s="13" t="str">
        <x:v>matched_clock_30</x:v>
      </x:c>
      <x:c r="B391" s="36" t="n">
        <x:v>45939.854166666664</x:v>
      </x:c>
      <x:c r="C391" s="36" t="n">
        <x:v>45939.9375</x:v>
      </x:c>
      <x:c r="D391" s="15" t="n">
        <x:v>42842.840461</x:v>
      </x:c>
      <x:c r="E391" s="15" t="n">
        <x:v>44448.158827</x:v>
      </x:c>
      <x:c r="F391" s="15" t="n">
        <x:v>87290.99928799999</x:v>
      </x:c>
      <x:c r="G391" s="15" t="n">
        <x:v>-1605.3183659999995</x:v>
      </x:c>
      <x:c r="H391" s="15" t="n">
        <x:v>95991.234232</x:v>
      </x:c>
      <x:c r="I391" s="15" t="n">
        <x:v>138834.074693</x:v>
      </x:c>
      <x:c r="J391" s="15" t="n">
        <x:v>13755.439607</x:v>
      </x:c>
      <x:c r="K391" s="15" t="n">
        <x:v>55027.186509</x:v>
      </x:c>
      <x:c r="L391" s="15" t="n">
        <x:v>68782.626116</x:v>
      </x:c>
      <x:c r="M391" s="15" t="n">
        <x:v>-41271.746902</x:v>
      </x:c>
      <x:c r="N391" s="15" t="n">
        <x:v>0.6195786864931714</x:v>
      </x:c>
      <x:c r="O391" s="15" t="n">
        <x:v>86726.55</x:v>
      </x:c>
      <x:c r="P391" s="15" t="n">
        <x:v>350657.2649</x:v>
      </x:c>
      <x:c r="Q391" s="15" t="n">
        <x:v>1758</x:v>
      </x:c>
      <x:c r="R391" s="15" t="n">
        <x:v>5.046036927291797</x:v>
      </x:c>
      <x:c r="S391" s="15" t="n">
        <x:v>0.14851485148514865</x:v>
      </x:c>
      <x:c r="T391" s="15" t="n">
        <x:v>-0.01615957042140348</x:v>
      </x:c>
      <x:c r="U391" s="15" t="n">
        <x:v>0.14822134387352248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20" hidden="0" customWidth="1"/>
    <x:col min="3" max="3" width="20" hidden="0" customWidth="1"/>
    <x:col min="4" max="4" width="34" hidden="0" customWidth="1"/>
    <x:col min="5" max="5" width="34" hidden="0" customWidth="1"/>
    <x:col min="6" max="6" width="2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2" customHeight="1">
      <x:c r="A1" s="20" t="str">
        <x:v>One-minute and five-minute lead-lag analysis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32" customHeight="1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4">
      <x:c r="A4" s="9" t="str">
        <x:v>Analysis ID</x:v>
      </x:c>
      <x:c r="B4" s="10" t="str">
        <x:v>Resolution</x:v>
      </x:c>
      <x:c r="C4" s="10" t="str">
        <x:v>Sample</x:v>
      </x:c>
      <x:c r="D4" s="10" t="str">
        <x:v>x</x:v>
      </x:c>
      <x:c r="E4" s="10" t="str">
        <x:v>y</x:v>
      </x:c>
      <x:c r="F4" s="10" t="str">
        <x:v>Lag convention</x:v>
      </x:c>
      <x:c r="G4" s="10" t="str">
        <x:v>Best lag (min)</x:v>
      </x:c>
      <x:c r="H4" s="10" t="str">
        <x:v>Best r</x:v>
      </x:c>
      <x:c r="I4" s="10" t="str">
        <x:v>Lag 0 r</x:v>
      </x:c>
      <x:c r="J4" s="10" t="str">
        <x:v>Paired n</x:v>
      </x:c>
      <x:c r="K4" s="10" t="str">
        <x:v>Circular-shift p</x:v>
      </x:c>
      <x:c r="L4" s="11" t="str">
        <x:v>Shifts</x:v>
      </x:c>
    </x:row>
    <x:row r="5">
      <x:c r="A5" s="12" t="str">
        <x:v>1m_30d_plus_event_day_spot_usdt_return_to_spot_usdc_return</x:v>
      </x:c>
      <x:c r="B5" s="12" t="str">
        <x:v>1m</x:v>
      </x:c>
      <x:c r="C5" s="12" t="str">
        <x:v>30d_plus_event_day</x:v>
      </x:c>
      <x:c r="D5" s="12" t="str">
        <x:v>spot_usdt_return</x:v>
      </x:c>
      <x:c r="E5" s="12" t="str">
        <x:v>spot_usdc_return</x:v>
      </x:c>
      <x:c r="F5" s="12" t="str">
        <x:v>positive lag means x leads y</x:v>
      </x:c>
      <x:c r="G5" s="39" t="n">
        <x:v>0</x:v>
      </x:c>
      <x:c r="H5" s="41" t="n">
        <x:v>0.8734669193167249</x:v>
      </x:c>
      <x:c r="I5" s="41" t="n">
        <x:v>0.8734669193167249</x:v>
      </x:c>
      <x:c r="J5" s="16" t="n">
        <x:v>44639</x:v>
      </x:c>
      <x:c r="K5" s="37" t="n">
        <x:v>0.0001999600079984003</x:v>
      </x:c>
      <x:c r="L5" s="16" t="n">
        <x:v>5000</x:v>
      </x:c>
    </x:row>
    <x:row r="6">
      <x:c r="A6" s="13" t="str">
        <x:v>1m_30d_plus_event_day_futures_return_to_spot_usdt_return</x:v>
      </x:c>
      <x:c r="B6" s="13" t="str">
        <x:v>1m</x:v>
      </x:c>
      <x:c r="C6" s="13" t="str">
        <x:v>30d_plus_event_day</x:v>
      </x:c>
      <x:c r="D6" s="13" t="str">
        <x:v>futures_return</x:v>
      </x:c>
      <x:c r="E6" s="13" t="str">
        <x:v>spot_usdt_return</x:v>
      </x:c>
      <x:c r="F6" s="13" t="str">
        <x:v>positive lag means x leads y</x:v>
      </x:c>
      <x:c r="G6" s="40" t="n">
        <x:v>0</x:v>
      </x:c>
      <x:c r="H6" s="42" t="n">
        <x:v>0.727130836767086</x:v>
      </x:c>
      <x:c r="I6" s="42" t="n">
        <x:v>0.727130836767086</x:v>
      </x:c>
      <x:c r="J6" s="17" t="n">
        <x:v>44639</x:v>
      </x:c>
      <x:c r="K6" s="38" t="n">
        <x:v>0.0001999600079984003</x:v>
      </x:c>
      <x:c r="L6" s="17" t="n">
        <x:v>5000</x:v>
      </x:c>
    </x:row>
    <x:row r="7">
      <x:c r="A7" s="13" t="str">
        <x:v>1m_30d_plus_event_day_spot_usdt_return_to_mark_return</x:v>
      </x:c>
      <x:c r="B7" s="13" t="str">
        <x:v>1m</x:v>
      </x:c>
      <x:c r="C7" s="13" t="str">
        <x:v>30d_plus_event_day</x:v>
      </x:c>
      <x:c r="D7" s="13" t="str">
        <x:v>spot_usdt_return</x:v>
      </x:c>
      <x:c r="E7" s="13" t="str">
        <x:v>mark_return</x:v>
      </x:c>
      <x:c r="F7" s="13" t="str">
        <x:v>positive lag means x leads y</x:v>
      </x:c>
      <x:c r="G7" s="40" t="n">
        <x:v>0</x:v>
      </x:c>
      <x:c r="H7" s="42" t="n">
        <x:v>0.7947938624765615</x:v>
      </x:c>
      <x:c r="I7" s="42" t="n">
        <x:v>0.7947938624765615</x:v>
      </x:c>
      <x:c r="J7" s="17" t="n">
        <x:v>44639</x:v>
      </x:c>
      <x:c r="K7" s="38" t="n">
        <x:v>0.0001999600079984003</x:v>
      </x:c>
      <x:c r="L7" s="17" t="n">
        <x:v>5000</x:v>
      </x:c>
    </x:row>
    <x:row r="8">
      <x:c r="A8" s="13" t="str">
        <x:v>1m_30d_plus_event_day_spot_trade_activity_to_spot_range_stress</x:v>
      </x:c>
      <x:c r="B8" s="13" t="str">
        <x:v>1m</x:v>
      </x:c>
      <x:c r="C8" s="13" t="str">
        <x:v>30d_plus_event_day</x:v>
      </x:c>
      <x:c r="D8" s="13" t="str">
        <x:v>spot_trade_activity</x:v>
      </x:c>
      <x:c r="E8" s="13" t="str">
        <x:v>spot_range_stress</x:v>
      </x:c>
      <x:c r="F8" s="13" t="str">
        <x:v>positive lag means x leads y</x:v>
      </x:c>
      <x:c r="G8" s="40" t="n">
        <x:v>0</x:v>
      </x:c>
      <x:c r="H8" s="42" t="n">
        <x:v>0.05610335891875217</x:v>
      </x:c>
      <x:c r="I8" s="42" t="n">
        <x:v>0.05610335891875217</x:v>
      </x:c>
      <x:c r="J8" s="17" t="n">
        <x:v>44640</x:v>
      </x:c>
      <x:c r="K8" s="38" t="n">
        <x:v>0.0001999600079984003</x:v>
      </x:c>
      <x:c r="L8" s="17" t="n">
        <x:v>5000</x:v>
      </x:c>
    </x:row>
    <x:row r="9">
      <x:c r="A9" s="13" t="str">
        <x:v>1m_30d_plus_event_day_usdt_vs_usdc_low_discount_to_spot_range_stress</x:v>
      </x:c>
      <x:c r="B9" s="13" t="str">
        <x:v>1m</x:v>
      </x:c>
      <x:c r="C9" s="13" t="str">
        <x:v>30d_plus_event_day</x:v>
      </x:c>
      <x:c r="D9" s="13" t="str">
        <x:v>usdt_vs_usdc_low_discount</x:v>
      </x:c>
      <x:c r="E9" s="13" t="str">
        <x:v>spot_range_stress</x:v>
      </x:c>
      <x:c r="F9" s="13" t="str">
        <x:v>positive lag means x leads y</x:v>
      </x:c>
      <x:c r="G9" s="40" t="n">
        <x:v>0</x:v>
      </x:c>
      <x:c r="H9" s="42" t="n">
        <x:v>0.996103590690586</x:v>
      </x:c>
      <x:c r="I9" s="42" t="n">
        <x:v>0.996103590690586</x:v>
      </x:c>
      <x:c r="J9" s="17" t="n">
        <x:v>44640</x:v>
      </x:c>
      <x:c r="K9" s="38" t="n">
        <x:v>0.0001999600079984003</x:v>
      </x:c>
      <x:c r="L9" s="17" t="n">
        <x:v>5000</x:v>
      </x:c>
    </x:row>
    <x:row r="10">
      <x:c r="A10" s="13" t="str">
        <x:v>1m_event_local_4h_spot_usdt_return_to_spot_usdc_return</x:v>
      </x:c>
      <x:c r="B10" s="13" t="str">
        <x:v>1m</x:v>
      </x:c>
      <x:c r="C10" s="13" t="str">
        <x:v>event_local_4h</x:v>
      </x:c>
      <x:c r="D10" s="13" t="str">
        <x:v>spot_usdt_return</x:v>
      </x:c>
      <x:c r="E10" s="13" t="str">
        <x:v>spot_usdc_return</x:v>
      </x:c>
      <x:c r="F10" s="13" t="str">
        <x:v>positive lag means x leads y</x:v>
      </x:c>
      <x:c r="G10" s="40" t="n">
        <x:v>0</x:v>
      </x:c>
      <x:c r="H10" s="42" t="n">
        <x:v>0.8810072913486027</x:v>
      </x:c>
      <x:c r="I10" s="42" t="n">
        <x:v>0.8810072913486027</x:v>
      </x:c>
      <x:c r="J10" s="17" t="n">
        <x:v>240</x:v>
      </x:c>
      <x:c r="K10" s="38" t="n">
        <x:v>0.004347826086956522</x:v>
      </x:c>
      <x:c r="L10" s="17" t="n">
        <x:v>229</x:v>
      </x:c>
    </x:row>
    <x:row r="11">
      <x:c r="A11" s="13" t="str">
        <x:v>1m_event_local_4h_futures_return_to_spot_usdt_return</x:v>
      </x:c>
      <x:c r="B11" s="13" t="str">
        <x:v>1m</x:v>
      </x:c>
      <x:c r="C11" s="13" t="str">
        <x:v>event_local_4h</x:v>
      </x:c>
      <x:c r="D11" s="13" t="str">
        <x:v>futures_return</x:v>
      </x:c>
      <x:c r="E11" s="13" t="str">
        <x:v>spot_usdt_return</x:v>
      </x:c>
      <x:c r="F11" s="13" t="str">
        <x:v>positive lag means x leads y</x:v>
      </x:c>
      <x:c r="G11" s="40" t="n">
        <x:v>0</x:v>
      </x:c>
      <x:c r="H11" s="42" t="n">
        <x:v>0.6987044869021353</x:v>
      </x:c>
      <x:c r="I11" s="42" t="n">
        <x:v>0.6987044869021353</x:v>
      </x:c>
      <x:c r="J11" s="17" t="n">
        <x:v>240</x:v>
      </x:c>
      <x:c r="K11" s="38" t="n">
        <x:v>0.004347826086956522</x:v>
      </x:c>
      <x:c r="L11" s="17" t="n">
        <x:v>229</x:v>
      </x:c>
    </x:row>
    <x:row r="12">
      <x:c r="A12" s="13" t="str">
        <x:v>1m_event_local_4h_spot_usdt_return_to_mark_return</x:v>
      </x:c>
      <x:c r="B12" s="13" t="str">
        <x:v>1m</x:v>
      </x:c>
      <x:c r="C12" s="13" t="str">
        <x:v>event_local_4h</x:v>
      </x:c>
      <x:c r="D12" s="13" t="str">
        <x:v>spot_usdt_return</x:v>
      </x:c>
      <x:c r="E12" s="13" t="str">
        <x:v>mark_return</x:v>
      </x:c>
      <x:c r="F12" s="13" t="str">
        <x:v>positive lag means x leads y</x:v>
      </x:c>
      <x:c r="G12" s="40" t="n">
        <x:v>0</x:v>
      </x:c>
      <x:c r="H12" s="42" t="n">
        <x:v>0.7744237177539715</x:v>
      </x:c>
      <x:c r="I12" s="42" t="n">
        <x:v>0.7744237177539715</x:v>
      </x:c>
      <x:c r="J12" s="17" t="n">
        <x:v>240</x:v>
      </x:c>
      <x:c r="K12" s="38" t="n">
        <x:v>0.004347826086956522</x:v>
      </x:c>
      <x:c r="L12" s="17" t="n">
        <x:v>229</x:v>
      </x:c>
    </x:row>
    <x:row r="13">
      <x:c r="A13" s="13" t="str">
        <x:v>1m_event_local_4h_spot_trade_activity_to_spot_range_stress</x:v>
      </x:c>
      <x:c r="B13" s="13" t="str">
        <x:v>1m</x:v>
      </x:c>
      <x:c r="C13" s="13" t="str">
        <x:v>event_local_4h</x:v>
      </x:c>
      <x:c r="D13" s="13" t="str">
        <x:v>spot_trade_activity</x:v>
      </x:c>
      <x:c r="E13" s="13" t="str">
        <x:v>spot_range_stress</x:v>
      </x:c>
      <x:c r="F13" s="13" t="str">
        <x:v>positive lag means x leads y</x:v>
      </x:c>
      <x:c r="G13" s="40" t="n">
        <x:v>5</x:v>
      </x:c>
      <x:c r="H13" s="42" t="n">
        <x:v>0.11593484380895275</x:v>
      </x:c>
      <x:c r="I13" s="42" t="n">
        <x:v>0.07406322227499461</x:v>
      </x:c>
      <x:c r="J13" s="17" t="n">
        <x:v>235</x:v>
      </x:c>
      <x:c r="K13" s="38" t="n">
        <x:v>0.36086956521739133</x:v>
      </x:c>
      <x:c r="L13" s="17" t="n">
        <x:v>229</x:v>
      </x:c>
    </x:row>
    <x:row r="14">
      <x:c r="A14" s="13" t="str">
        <x:v>1m_event_local_4h_usdt_vs_usdc_low_discount_to_spot_range_stress</x:v>
      </x:c>
      <x:c r="B14" s="13" t="str">
        <x:v>1m</x:v>
      </x:c>
      <x:c r="C14" s="13" t="str">
        <x:v>event_local_4h</x:v>
      </x:c>
      <x:c r="D14" s="13" t="str">
        <x:v>usdt_vs_usdc_low_discount</x:v>
      </x:c>
      <x:c r="E14" s="13" t="str">
        <x:v>spot_range_stress</x:v>
      </x:c>
      <x:c r="F14" s="13" t="str">
        <x:v>positive lag means x leads y</x:v>
      </x:c>
      <x:c r="G14" s="40" t="n">
        <x:v>0</x:v>
      </x:c>
      <x:c r="H14" s="42" t="n">
        <x:v>0.9971584606820793</x:v>
      </x:c>
      <x:c r="I14" s="42" t="n">
        <x:v>0.9971584606820793</x:v>
      </x:c>
      <x:c r="J14" s="17" t="n">
        <x:v>240</x:v>
      </x:c>
      <x:c r="K14" s="38" t="n">
        <x:v>0.004347826086956522</x:v>
      </x:c>
      <x:c r="L14" s="17" t="n">
        <x:v>229</x:v>
      </x:c>
    </x:row>
    <x:row r="15">
      <x:c r="A15" s="13" t="str">
        <x:v>5m_30d_plus_event_day_confirmed_exchange_in_atom_to_spot_range_stress</x:v>
      </x:c>
      <x:c r="B15" s="13" t="str">
        <x:v>5m</x:v>
      </x:c>
      <x:c r="C15" s="13" t="str">
        <x:v>30d_plus_event_day</x:v>
      </x:c>
      <x:c r="D15" s="13" t="str">
        <x:v>confirmed_exchange_in_atom</x:v>
      </x:c>
      <x:c r="E15" s="13" t="str">
        <x:v>spot_range_stress</x:v>
      </x:c>
      <x:c r="F15" s="13" t="str">
        <x:v>positive lag means x leads y</x:v>
      </x:c>
      <x:c r="G15" s="40" t="n">
        <x:v>-60</x:v>
      </x:c>
      <x:c r="H15" s="42" t="n">
        <x:v>0.027352189855455556</x:v>
      </x:c>
      <x:c r="I15" s="42" t="n">
        <x:v>0.015228144456182499</x:v>
      </x:c>
      <x:c r="J15" s="17" t="n">
        <x:v>8916</x:v>
      </x:c>
      <x:c r="K15" s="38" t="n">
        <x:v>0.0619876024795041</x:v>
      </x:c>
      <x:c r="L15" s="17" t="n">
        <x:v>5000</x:v>
      </x:c>
    </x:row>
    <x:row r="16">
      <x:c r="A16" s="13" t="str">
        <x:v>5m_30d_plus_event_day_confirmed_exchange_out_atom_to_spot_range_stress</x:v>
      </x:c>
      <x:c r="B16" s="13" t="str">
        <x:v>5m</x:v>
      </x:c>
      <x:c r="C16" s="13" t="str">
        <x:v>30d_plus_event_day</x:v>
      </x:c>
      <x:c r="D16" s="13" t="str">
        <x:v>confirmed_exchange_out_atom</x:v>
      </x:c>
      <x:c r="E16" s="13" t="str">
        <x:v>spot_range_stress</x:v>
      </x:c>
      <x:c r="F16" s="13" t="str">
        <x:v>positive lag means x leads y</x:v>
      </x:c>
      <x:c r="G16" s="40" t="n">
        <x:v>-60</x:v>
      </x:c>
      <x:c r="H16" s="42" t="n">
        <x:v>0.0400131015133667</x:v>
      </x:c>
      <x:c r="I16" s="42" t="n">
        <x:v>0.02807041665607226</x:v>
      </x:c>
      <x:c r="J16" s="17" t="n">
        <x:v>8916</x:v>
      </x:c>
      <x:c r="K16" s="38" t="n">
        <x:v>0.0001999600079984003</x:v>
      </x:c>
      <x:c r="L16" s="17" t="n">
        <x:v>5000</x:v>
      </x:c>
    </x:row>
    <x:row r="17">
      <x:c r="A17" s="13" t="str">
        <x:v>5m_30d_plus_event_day_unconfirmed_behavioral_in_atom_to_spot_range_stress</x:v>
      </x:c>
      <x:c r="B17" s="13" t="str">
        <x:v>5m</x:v>
      </x:c>
      <x:c r="C17" s="13" t="str">
        <x:v>30d_plus_event_day</x:v>
      </x:c>
      <x:c r="D17" s="13" t="str">
        <x:v>unconfirmed_behavioral_in_atom</x:v>
      </x:c>
      <x:c r="E17" s="13" t="str">
        <x:v>spot_range_stress</x:v>
      </x:c>
      <x:c r="F17" s="13" t="str">
        <x:v>positive lag means x leads y</x:v>
      </x:c>
      <x:c r="G17" s="40" t="n">
        <x:v>-25</x:v>
      </x:c>
      <x:c r="H17" s="42" t="n">
        <x:v>0.02787603669027659</x:v>
      </x:c>
      <x:c r="I17" s="42" t="n">
        <x:v>0.017217801404288295</x:v>
      </x:c>
      <x:c r="J17" s="17" t="n">
        <x:v>8923</x:v>
      </x:c>
      <x:c r="K17" s="38" t="n">
        <x:v>0.1855628874225155</x:v>
      </x:c>
      <x:c r="L17" s="17" t="n">
        <x:v>5000</x:v>
      </x:c>
    </x:row>
    <x:row r="18">
      <x:c r="A18" s="13" t="str">
        <x:v>5m_30d_plus_event_day_all_behavioral_candidate_in_atom_to_spot_range_stress</x:v>
      </x:c>
      <x:c r="B18" s="13" t="str">
        <x:v>5m</x:v>
      </x:c>
      <x:c r="C18" s="13" t="str">
        <x:v>30d_plus_event_day</x:v>
      </x:c>
      <x:c r="D18" s="13" t="str">
        <x:v>all_behavioral_candidate_in_atom</x:v>
      </x:c>
      <x:c r="E18" s="13" t="str">
        <x:v>spot_range_stress</x:v>
      </x:c>
      <x:c r="F18" s="13" t="str">
        <x:v>positive lag means x leads y</x:v>
      </x:c>
      <x:c r="G18" s="40" t="n">
        <x:v>-60</x:v>
      </x:c>
      <x:c r="H18" s="42" t="n">
        <x:v>0.02970426440394896</x:v>
      </x:c>
      <x:c r="I18" s="42" t="n">
        <x:v>0.018846612804728786</x:v>
      </x:c>
      <x:c r="J18" s="17" t="n">
        <x:v>8916</x:v>
      </x:c>
      <x:c r="K18" s="38" t="n">
        <x:v>0.2975404919016197</x:v>
      </x:c>
      <x:c r="L18" s="17" t="n">
        <x:v>5000</x:v>
      </x:c>
    </x:row>
    <x:row r="19">
      <x:c r="A19" s="13" t="str">
        <x:v>5m_30d_plus_event_day_confirmed_exchange_net_in_atom_to_spot_return</x:v>
      </x:c>
      <x:c r="B19" s="13" t="str">
        <x:v>5m</x:v>
      </x:c>
      <x:c r="C19" s="13" t="str">
        <x:v>30d_plus_event_day</x:v>
      </x:c>
      <x:c r="D19" s="13" t="str">
        <x:v>confirmed_exchange_net_in_atom</x:v>
      </x:c>
      <x:c r="E19" s="13" t="str">
        <x:v>spot_return</x:v>
      </x:c>
      <x:c r="F19" s="13" t="str">
        <x:v>positive lag means x leads y</x:v>
      </x:c>
      <x:c r="G19" s="40" t="n">
        <x:v>-25</x:v>
      </x:c>
      <x:c r="H19" s="42" t="n">
        <x:v>0.025167074303413223</x:v>
      </x:c>
      <x:c r="I19" s="42" t="n">
        <x:v>0.015676531242324637</x:v>
      </x:c>
      <x:c r="J19" s="17" t="n">
        <x:v>8923</x:v>
      </x:c>
      <x:c r="K19" s="38" t="n">
        <x:v>0.42071585682863427</x:v>
      </x:c>
      <x:c r="L19" s="17" t="n">
        <x:v>5000</x:v>
      </x:c>
    </x:row>
    <x:row r="20">
      <x:c r="A20" s="13" t="str">
        <x:v>5m_30d_plus_event_day_ibc_inbound_atom_to_spot_range_stress</x:v>
      </x:c>
      <x:c r="B20" s="13" t="str">
        <x:v>5m</x:v>
      </x:c>
      <x:c r="C20" s="13" t="str">
        <x:v>30d_plus_event_day</x:v>
      </x:c>
      <x:c r="D20" s="13" t="str">
        <x:v>ibc_inbound_atom</x:v>
      </x:c>
      <x:c r="E20" s="13" t="str">
        <x:v>spot_range_stress</x:v>
      </x:c>
      <x:c r="F20" s="13" t="str">
        <x:v>positive lag means x leads y</x:v>
      </x:c>
      <x:c r="G20" s="40" t="n">
        <x:v>-60</x:v>
      </x:c>
      <x:c r="H20" s="42" t="n">
        <x:v>0.041533349160342924</x:v>
      </x:c>
      <x:c r="I20" s="42" t="n">
        <x:v>0.02688467407060888</x:v>
      </x:c>
      <x:c r="J20" s="17" t="n">
        <x:v>8916</x:v>
      </x:c>
      <x:c r="K20" s="38" t="n">
        <x:v>0.0033993201359728054</x:v>
      </x:c>
      <x:c r="L20" s="17" t="n">
        <x:v>5000</x:v>
      </x:c>
    </x:row>
    <x:row r="21">
      <x:c r="A21" s="13" t="str">
        <x:v>5m_30d_plus_event_day_ibc_outbound_atom_to_spot_range_stress</x:v>
      </x:c>
      <x:c r="B21" s="13" t="str">
        <x:v>5m</x:v>
      </x:c>
      <x:c r="C21" s="13" t="str">
        <x:v>30d_plus_event_day</x:v>
      </x:c>
      <x:c r="D21" s="13" t="str">
        <x:v>ibc_outbound_atom</x:v>
      </x:c>
      <x:c r="E21" s="13" t="str">
        <x:v>spot_range_stress</x:v>
      </x:c>
      <x:c r="F21" s="13" t="str">
        <x:v>positive lag means x leads y</x:v>
      </x:c>
      <x:c r="G21" s="40" t="n">
        <x:v>-20</x:v>
      </x:c>
      <x:c r="H21" s="42" t="n">
        <x:v>0.04278165763960304</x:v>
      </x:c>
      <x:c r="I21" s="42" t="n">
        <x:v>0.03384526091610979</x:v>
      </x:c>
      <x:c r="J21" s="17" t="n">
        <x:v>8924</x:v>
      </x:c>
      <x:c r="K21" s="38" t="n">
        <x:v>0.014197160567886422</x:v>
      </x:c>
      <x:c r="L21" s="17" t="n">
        <x:v>5000</x:v>
      </x:c>
    </x:row>
    <x:row r="22">
      <x:c r="A22" s="13" t="str">
        <x:v>5m_30d_plus_event_day_ibc_net_inbound_atom_to_spot_return</x:v>
      </x:c>
      <x:c r="B22" s="13" t="str">
        <x:v>5m</x:v>
      </x:c>
      <x:c r="C22" s="13" t="str">
        <x:v>30d_plus_event_day</x:v>
      </x:c>
      <x:c r="D22" s="13" t="str">
        <x:v>ibc_net_inbound_atom</x:v>
      </x:c>
      <x:c r="E22" s="13" t="str">
        <x:v>spot_return</x:v>
      </x:c>
      <x:c r="F22" s="13" t="str">
        <x:v>positive lag means x leads y</x:v>
      </x:c>
      <x:c r="G22" s="40" t="n">
        <x:v>-5</x:v>
      </x:c>
      <x:c r="H22" s="42" t="n">
        <x:v>0.06597456875951058</x:v>
      </x:c>
      <x:c r="I22" s="42" t="n">
        <x:v>0.06337255176349203</x:v>
      </x:c>
      <x:c r="J22" s="17" t="n">
        <x:v>8927</x:v>
      </x:c>
      <x:c r="K22" s="38" t="n">
        <x:v>0.002999400119976005</x:v>
      </x:c>
      <x:c r="L22" s="17" t="n">
        <x:v>5000</x:v>
      </x:c>
    </x:row>
    <x:row r="23">
      <x:c r="A23" s="13" t="str">
        <x:v>5m_event_local_4h_confirmed_exchange_in_atom_to_spot_range_stress</x:v>
      </x:c>
      <x:c r="B23" s="13" t="str">
        <x:v>5m</x:v>
      </x:c>
      <x:c r="C23" s="13" t="str">
        <x:v>event_local_4h</x:v>
      </x:c>
      <x:c r="D23" s="13" t="str">
        <x:v>confirmed_exchange_in_atom</x:v>
      </x:c>
      <x:c r="E23" s="13" t="str">
        <x:v>spot_range_stress</x:v>
      </x:c>
      <x:c r="F23" s="13" t="str">
        <x:v>positive lag means x leads y</x:v>
      </x:c>
      <x:c r="G23" s="40" t="n">
        <x:v>40</x:v>
      </x:c>
      <x:c r="H23" s="42" t="n">
        <x:v>-0.5710132540515529</x:v>
      </x:c>
      <x:c r="I23" s="42" t="n">
        <x:v>0.08827341633882696</x:v>
      </x:c>
      <x:c r="J23" s="17" t="n">
        <x:v>40</x:v>
      </x:c>
      <x:c r="K23" s="38" t="n">
        <x:v>0.041666666666666664</x:v>
      </x:c>
      <x:c r="L23" s="17" t="n">
        <x:v>23</x:v>
      </x:c>
    </x:row>
    <x:row r="24">
      <x:c r="A24" s="13" t="str">
        <x:v>5m_event_local_4h_confirmed_exchange_out_atom_to_spot_range_stress</x:v>
      </x:c>
      <x:c r="B24" s="13" t="str">
        <x:v>5m</x:v>
      </x:c>
      <x:c r="C24" s="13" t="str">
        <x:v>event_local_4h</x:v>
      </x:c>
      <x:c r="D24" s="13" t="str">
        <x:v>confirmed_exchange_out_atom</x:v>
      </x:c>
      <x:c r="E24" s="13" t="str">
        <x:v>spot_range_stress</x:v>
      </x:c>
      <x:c r="F24" s="13" t="str">
        <x:v>positive lag means x leads y</x:v>
      </x:c>
      <x:c r="G24" s="40" t="n">
        <x:v>-40</x:v>
      </x:c>
      <x:c r="H24" s="42" t="n">
        <x:v>-0.3103185610089964</x:v>
      </x:c>
      <x:c r="I24" s="42" t="n">
        <x:v>0.03675022515090423</x:v>
      </x:c>
      <x:c r="J24" s="17" t="n">
        <x:v>40</x:v>
      </x:c>
      <x:c r="K24" s="38" t="n">
        <x:v>0.041666666666666664</x:v>
      </x:c>
      <x:c r="L24" s="17" t="n">
        <x:v>23</x:v>
      </x:c>
    </x:row>
    <x:row r="25">
      <x:c r="A25" s="13" t="str">
        <x:v>5m_event_local_4h_unconfirmed_behavioral_in_atom_to_spot_range_stress</x:v>
      </x:c>
      <x:c r="B25" s="13" t="str">
        <x:v>5m</x:v>
      </x:c>
      <x:c r="C25" s="13" t="str">
        <x:v>event_local_4h</x:v>
      </x:c>
      <x:c r="D25" s="13" t="str">
        <x:v>unconfirmed_behavioral_in_atom</x:v>
      </x:c>
      <x:c r="E25" s="13" t="str">
        <x:v>spot_range_stress</x:v>
      </x:c>
      <x:c r="F25" s="13" t="str">
        <x:v>positive lag means x leads y</x:v>
      </x:c>
      <x:c r="G25" s="40" t="n">
        <x:v>45</x:v>
      </x:c>
      <x:c r="H25" s="42" t="n">
        <x:v>-0.5058765246019289</x:v>
      </x:c>
      <x:c r="I25" s="42" t="n">
        <x:v>-0.006575234704802903</x:v>
      </x:c>
      <x:c r="J25" s="17" t="n">
        <x:v>39</x:v>
      </x:c>
      <x:c r="K25" s="38" t="n">
        <x:v>0.041666666666666664</x:v>
      </x:c>
      <x:c r="L25" s="17" t="n">
        <x:v>23</x:v>
      </x:c>
    </x:row>
    <x:row r="26">
      <x:c r="A26" s="13" t="str">
        <x:v>5m_event_local_4h_all_behavioral_candidate_in_atom_to_spot_range_stress</x:v>
      </x:c>
      <x:c r="B26" s="13" t="str">
        <x:v>5m</x:v>
      </x:c>
      <x:c r="C26" s="13" t="str">
        <x:v>event_local_4h</x:v>
      </x:c>
      <x:c r="D26" s="13" t="str">
        <x:v>all_behavioral_candidate_in_atom</x:v>
      </x:c>
      <x:c r="E26" s="13" t="str">
        <x:v>spot_range_stress</x:v>
      </x:c>
      <x:c r="F26" s="13" t="str">
        <x:v>positive lag means x leads y</x:v>
      </x:c>
      <x:c r="G26" s="40" t="n">
        <x:v>45</x:v>
      </x:c>
      <x:c r="H26" s="42" t="n">
        <x:v>-0.521983800467452</x:v>
      </x:c>
      <x:c r="I26" s="42" t="n">
        <x:v>0.0013255652131714377</x:v>
      </x:c>
      <x:c r="J26" s="17" t="n">
        <x:v>39</x:v>
      </x:c>
      <x:c r="K26" s="38" t="n">
        <x:v>0.041666666666666664</x:v>
      </x:c>
      <x:c r="L26" s="17" t="n">
        <x:v>23</x:v>
      </x:c>
    </x:row>
    <x:row r="27">
      <x:c r="A27" s="13" t="str">
        <x:v>5m_event_local_4h_confirmed_exchange_net_in_atom_to_spot_return</x:v>
      </x:c>
      <x:c r="B27" s="13" t="str">
        <x:v>5m</x:v>
      </x:c>
      <x:c r="C27" s="13" t="str">
        <x:v>event_local_4h</x:v>
      </x:c>
      <x:c r="D27" s="13" t="str">
        <x:v>confirmed_exchange_net_in_atom</x:v>
      </x:c>
      <x:c r="E27" s="13" t="str">
        <x:v>spot_return</x:v>
      </x:c>
      <x:c r="F27" s="13" t="str">
        <x:v>positive lag means x leads y</x:v>
      </x:c>
      <x:c r="G27" s="40" t="n">
        <x:v>-40</x:v>
      </x:c>
      <x:c r="H27" s="42" t="n">
        <x:v>0.24295512426409227</x:v>
      </x:c>
      <x:c r="I27" s="42" t="n">
        <x:v>0.008503758647086258</x:v>
      </x:c>
      <x:c r="J27" s="17" t="n">
        <x:v>40</x:v>
      </x:c>
      <x:c r="K27" s="38" t="n">
        <x:v>0.041666666666666664</x:v>
      </x:c>
      <x:c r="L27" s="17" t="n">
        <x:v>23</x:v>
      </x:c>
    </x:row>
    <x:row r="28">
      <x:c r="A28" s="13" t="str">
        <x:v>5m_event_local_4h_ibc_inbound_atom_to_spot_range_stress</x:v>
      </x:c>
      <x:c r="B28" s="13" t="str">
        <x:v>5m</x:v>
      </x:c>
      <x:c r="C28" s="13" t="str">
        <x:v>event_local_4h</x:v>
      </x:c>
      <x:c r="D28" s="13" t="str">
        <x:v>ibc_inbound_atom</x:v>
      </x:c>
      <x:c r="E28" s="13" t="str">
        <x:v>spot_range_stress</x:v>
      </x:c>
      <x:c r="F28" s="13" t="str">
        <x:v>positive lag means x leads y</x:v>
      </x:c>
      <x:c r="G28" s="40" t="n">
        <x:v>35</x:v>
      </x:c>
      <x:c r="H28" s="42" t="n">
        <x:v>-0.38333889262117726</x:v>
      </x:c>
      <x:c r="I28" s="42" t="n">
        <x:v>-0.0031527486671052585</x:v>
      </x:c>
      <x:c r="J28" s="17" t="n">
        <x:v>41</x:v>
      </x:c>
      <x:c r="K28" s="38" t="n">
        <x:v>0.625</x:v>
      </x:c>
      <x:c r="L28" s="17" t="n">
        <x:v>23</x:v>
      </x:c>
    </x:row>
    <x:row r="29">
      <x:c r="A29" s="13" t="str">
        <x:v>5m_event_local_4h_ibc_outbound_atom_to_spot_range_stress</x:v>
      </x:c>
      <x:c r="B29" s="13" t="str">
        <x:v>5m</x:v>
      </x:c>
      <x:c r="C29" s="13" t="str">
        <x:v>event_local_4h</x:v>
      </x:c>
      <x:c r="D29" s="13" t="str">
        <x:v>ibc_outbound_atom</x:v>
      </x:c>
      <x:c r="E29" s="13" t="str">
        <x:v>spot_range_stress</x:v>
      </x:c>
      <x:c r="F29" s="13" t="str">
        <x:v>positive lag means x leads y</x:v>
      </x:c>
      <x:c r="G29" s="40" t="n">
        <x:v>35</x:v>
      </x:c>
      <x:c r="H29" s="42" t="n">
        <x:v>-0.3023672561225258</x:v>
      </x:c>
      <x:c r="I29" s="42" t="n">
        <x:v>0.0710325850444147</x:v>
      </x:c>
      <x:c r="J29" s="17" t="n">
        <x:v>41</x:v>
      </x:c>
      <x:c r="K29" s="38" t="n">
        <x:v>0.875</x:v>
      </x:c>
      <x:c r="L29" s="17" t="n">
        <x:v>23</x:v>
      </x:c>
    </x:row>
    <x:row r="30">
      <x:c r="A30" s="13" t="str">
        <x:v>5m_event_local_4h_ibc_net_inbound_atom_to_spot_return</x:v>
      </x:c>
      <x:c r="B30" s="13" t="str">
        <x:v>5m</x:v>
      </x:c>
      <x:c r="C30" s="13" t="str">
        <x:v>event_local_4h</x:v>
      </x:c>
      <x:c r="D30" s="13" t="str">
        <x:v>ibc_net_inbound_atom</x:v>
      </x:c>
      <x:c r="E30" s="13" t="str">
        <x:v>spot_return</x:v>
      </x:c>
      <x:c r="F30" s="13" t="str">
        <x:v>positive lag means x leads y</x:v>
      </x:c>
      <x:c r="G30" s="40" t="n">
        <x:v>-30</x:v>
      </x:c>
      <x:c r="H30" s="42" t="n">
        <x:v>0.3228757263838946</x:v>
      </x:c>
      <x:c r="I30" s="42" t="n">
        <x:v>0.13072284819044733</x:v>
      </x:c>
      <x:c r="J30" s="17" t="n">
        <x:v>42</x:v>
      </x:c>
      <x:c r="K30" s="38" t="n">
        <x:v>0.041666666666666664</x:v>
      </x:c>
      <x:c r="L30" s="17" t="n">
        <x:v>23</x:v>
      </x:c>
    </x:row>
    <x:row r="34">
      <x:c r="A34" s="9" t="str">
        <x:v>Lag (min)</x:v>
      </x:c>
      <x:c r="B34" s="10" t="str">
        <x:v>Confirmed only</x:v>
      </x:c>
      <x:c r="C34" s="10" t="str">
        <x:v>Confirmed + unconfirmed</x:v>
      </x:c>
      <x:c r="D34" s="10" t="str">
        <x:v>IBC inbound</x:v>
      </x:c>
      <x:c r="E34" s="11" t="str">
        <x:v>IBC outbound</x:v>
      </x:c>
    </x:row>
    <x:row r="35">
      <x:c r="A35" t="n">
        <x:f>'Lag Curves'!G312</x:f>
        <x:v>-60</x:v>
      </x:c>
      <x:c r="B35" s="43" t="n">
        <x:f>'Lag Curves'!H312</x:f>
        <x:v>0.30055399864283905</x:v>
      </x:c>
      <x:c r="C35" s="43" t="n">
        <x:f>'Lag Curves'!H387</x:f>
        <x:v>0.2087121614978912</x:v>
      </x:c>
      <x:c r="D35" s="43" t="n">
        <x:f>'Lag Curves'!H437</x:f>
        <x:v>0.2575769885236051</x:v>
      </x:c>
      <x:c r="E35" s="43" t="n">
        <x:f>'Lag Curves'!H462</x:f>
        <x:v>0.1291791188150858</x:v>
      </x:c>
    </x:row>
    <x:row r="36">
      <x:c r="A36" t="n">
        <x:f>'Lag Curves'!G313</x:f>
        <x:v>-55</x:v>
      </x:c>
      <x:c r="B36" s="43" t="n">
        <x:f>'Lag Curves'!H313</x:f>
        <x:v>0.0621027617632773</x:v>
      </x:c>
      <x:c r="C36" s="43" t="n">
        <x:f>'Lag Curves'!H388</x:f>
        <x:v>0.1539533460184449</x:v>
      </x:c>
      <x:c r="D36" s="43" t="n">
        <x:f>'Lag Curves'!H438</x:f>
        <x:v>0.15757441203721334</x:v>
      </x:c>
      <x:c r="E36" s="43" t="n">
        <x:f>'Lag Curves'!H463</x:f>
        <x:v>0.12060049194480084</x:v>
      </x:c>
    </x:row>
    <x:row r="37">
      <x:c r="A37" t="n">
        <x:f>'Lag Curves'!G314</x:f>
        <x:v>-50</x:v>
      </x:c>
      <x:c r="B37" s="43" t="n">
        <x:f>'Lag Curves'!H314</x:f>
        <x:v>0.06949932422281288</x:v>
      </x:c>
      <x:c r="C37" s="43" t="n">
        <x:f>'Lag Curves'!H389</x:f>
        <x:v>0.10670875793412046</x:v>
      </x:c>
      <x:c r="D37" s="43" t="n">
        <x:f>'Lag Curves'!H439</x:f>
        <x:v>0.15451624831789032</x:v>
      </x:c>
      <x:c r="E37" s="43" t="n">
        <x:f>'Lag Curves'!H464</x:f>
        <x:v>0.0988795457263426</x:v>
      </x:c>
    </x:row>
    <x:row r="38">
      <x:c r="A38" t="n">
        <x:f>'Lag Curves'!G315</x:f>
        <x:v>-45</x:v>
      </x:c>
      <x:c r="B38" s="43" t="n">
        <x:f>'Lag Curves'!H315</x:f>
        <x:v>0.12240247210819905</x:v>
      </x:c>
      <x:c r="C38" s="43" t="n">
        <x:f>'Lag Curves'!H390</x:f>
        <x:v>0.066986407944399</x:v>
      </x:c>
      <x:c r="D38" s="43" t="n">
        <x:f>'Lag Curves'!H440</x:f>
        <x:v>0.14566795932380605</x:v>
      </x:c>
      <x:c r="E38" s="43" t="n">
        <x:f>'Lag Curves'!H465</x:f>
        <x:v>0.08022559717662218</x:v>
      </x:c>
    </x:row>
    <x:row r="39">
      <x:c r="A39" t="n">
        <x:f>'Lag Curves'!G316</x:f>
        <x:v>-40</x:v>
      </x:c>
      <x:c r="B39" s="43" t="n">
        <x:f>'Lag Curves'!H316</x:f>
        <x:v>0.07930073729071584</x:v>
      </x:c>
      <x:c r="C39" s="43" t="n">
        <x:f>'Lag Curves'!H391</x:f>
        <x:v>0.053870026920127545</x:v>
      </x:c>
      <x:c r="D39" s="43" t="n">
        <x:f>'Lag Curves'!H441</x:f>
        <x:v>0.2191156464488503</x:v>
      </x:c>
      <x:c r="E39" s="43" t="n">
        <x:f>'Lag Curves'!H466</x:f>
        <x:v>0.177582134204425</x:v>
      </x:c>
    </x:row>
    <x:row r="40">
      <x:c r="A40" t="n">
        <x:f>'Lag Curves'!G317</x:f>
        <x:v>-35</x:v>
      </x:c>
      <x:c r="B40" s="43" t="n">
        <x:f>'Lag Curves'!H317</x:f>
        <x:v>0.17492046259137878</x:v>
      </x:c>
      <x:c r="C40" s="43" t="n">
        <x:f>'Lag Curves'!H392</x:f>
        <x:v>0.11542384282806857</x:v>
      </x:c>
      <x:c r="D40" s="43" t="n">
        <x:f>'Lag Curves'!H442</x:f>
        <x:v>0.16352652313273253</x:v>
      </x:c>
      <x:c r="E40" s="43" t="n">
        <x:f>'Lag Curves'!H467</x:f>
        <x:v>0.03413934530285588</x:v>
      </x:c>
    </x:row>
    <x:row r="41">
      <x:c r="A41" t="n">
        <x:f>'Lag Curves'!G318</x:f>
        <x:v>-30</x:v>
      </x:c>
      <x:c r="B41" s="43" t="n">
        <x:f>'Lag Curves'!H318</x:f>
        <x:v>0.1422204906816442</x:v>
      </x:c>
      <x:c r="C41" s="43" t="n">
        <x:f>'Lag Curves'!H393</x:f>
        <x:v>0.17690685780896945</x:v>
      </x:c>
      <x:c r="D41" s="43" t="n">
        <x:f>'Lag Curves'!H443</x:f>
        <x:v>0.0915717987013553</x:v>
      </x:c>
      <x:c r="E41" s="43" t="n">
        <x:f>'Lag Curves'!H468</x:f>
        <x:v>0.09273531749071733</x:v>
      </x:c>
    </x:row>
    <x:row r="42">
      <x:c r="A42" t="n">
        <x:f>'Lag Curves'!G319</x:f>
        <x:v>-25</x:v>
      </x:c>
      <x:c r="B42" s="43" t="n">
        <x:f>'Lag Curves'!H319</x:f>
        <x:v>0.17116525820290057</x:v>
      </x:c>
      <x:c r="C42" s="43" t="n">
        <x:f>'Lag Curves'!H394</x:f>
        <x:v>0.1470718261270137</x:v>
      </x:c>
      <x:c r="D42" s="43" t="n">
        <x:f>'Lag Curves'!H444</x:f>
        <x:v>0.00927147663937197</x:v>
      </x:c>
      <x:c r="E42" s="43" t="n">
        <x:f>'Lag Curves'!H469</x:f>
        <x:v>0.1118965027825783</x:v>
      </x:c>
    </x:row>
    <x:row r="43">
      <x:c r="A43" t="n">
        <x:f>'Lag Curves'!G320</x:f>
        <x:v>-20</x:v>
      </x:c>
      <x:c r="B43" s="43" t="n">
        <x:f>'Lag Curves'!H320</x:f>
        <x:v>0.1113963669875233</x:v>
      </x:c>
      <x:c r="C43" s="43" t="n">
        <x:f>'Lag Curves'!H395</x:f>
        <x:v>-0.03395570080936179</x:v>
      </x:c>
      <x:c r="D43" s="43" t="n">
        <x:f>'Lag Curves'!H445</x:f>
        <x:v>0.06905257637644004</x:v>
      </x:c>
      <x:c r="E43" s="43" t="n">
        <x:f>'Lag Curves'!H470</x:f>
        <x:v>0.2884161893147431</x:v>
      </x:c>
    </x:row>
    <x:row r="44">
      <x:c r="A44" t="n">
        <x:f>'Lag Curves'!G321</x:f>
        <x:v>-15</x:v>
      </x:c>
      <x:c r="B44" s="43" t="n">
        <x:f>'Lag Curves'!H321</x:f>
        <x:v>-0.0694005046614255</x:v>
      </x:c>
      <x:c r="C44" s="43" t="n">
        <x:f>'Lag Curves'!H396</x:f>
        <x:v>-0.2639134935137615</x:v>
      </x:c>
      <x:c r="D44" s="43" t="n">
        <x:f>'Lag Curves'!H446</x:f>
        <x:v>0.03116129264738401</x:v>
      </x:c>
      <x:c r="E44" s="43" t="n">
        <x:f>'Lag Curves'!H471</x:f>
        <x:v>0.04714583985040177</x:v>
      </x:c>
    </x:row>
    <x:row r="45">
      <x:c r="A45" t="n">
        <x:f>'Lag Curves'!G322</x:f>
        <x:v>-10</x:v>
      </x:c>
      <x:c r="B45" s="43" t="n">
        <x:f>'Lag Curves'!H322</x:f>
        <x:v>-0.005584329909257857</x:v>
      </x:c>
      <x:c r="C45" s="43" t="n">
        <x:f>'Lag Curves'!H397</x:f>
        <x:v>-0.04448346065756745</x:v>
      </x:c>
      <x:c r="D45" s="43" t="n">
        <x:f>'Lag Curves'!H447</x:f>
        <x:v>-0.00911575513019114</x:v>
      </x:c>
      <x:c r="E45" s="43" t="n">
        <x:f>'Lag Curves'!H472</x:f>
        <x:v>0.038062072701064494</x:v>
      </x:c>
    </x:row>
    <x:row r="46">
      <x:c r="A46" t="n">
        <x:f>'Lag Curves'!G323</x:f>
        <x:v>-5</x:v>
      </x:c>
      <x:c r="B46" s="43" t="n">
        <x:f>'Lag Curves'!H323</x:f>
        <x:v>0.041447619766483604</x:v>
      </x:c>
      <x:c r="C46" s="43" t="n">
        <x:f>'Lag Curves'!H398</x:f>
        <x:v>-0.010963798154896696</x:v>
      </x:c>
      <x:c r="D46" s="43" t="n">
        <x:f>'Lag Curves'!H448</x:f>
        <x:v>0.06673572277576631</x:v>
      </x:c>
      <x:c r="E46" s="43" t="n">
        <x:f>'Lag Curves'!H473</x:f>
        <x:v>0.05909742316321674</x:v>
      </x:c>
    </x:row>
    <x:row r="47">
      <x:c r="A47" t="n">
        <x:f>'Lag Curves'!G324</x:f>
        <x:v>0</x:v>
      </x:c>
      <x:c r="B47" s="43" t="n">
        <x:f>'Lag Curves'!H324</x:f>
        <x:v>0.08827341633882696</x:v>
      </x:c>
      <x:c r="C47" s="43" t="n">
        <x:f>'Lag Curves'!H399</x:f>
        <x:v>0.0013255652131714377</x:v>
      </x:c>
      <x:c r="D47" s="43" t="n">
        <x:f>'Lag Curves'!H449</x:f>
        <x:v>-0.0031527486671052585</x:v>
      </x:c>
      <x:c r="E47" s="43" t="n">
        <x:f>'Lag Curves'!H474</x:f>
        <x:v>0.0710325850444147</x:v>
      </x:c>
    </x:row>
    <x:row r="48">
      <x:c r="A48" t="n">
        <x:f>'Lag Curves'!G325</x:f>
        <x:v>5</x:v>
      </x:c>
      <x:c r="B48" s="43" t="n">
        <x:f>'Lag Curves'!H325</x:f>
        <x:v>0.10868861498801118</x:v>
      </x:c>
      <x:c r="C48" s="43" t="n">
        <x:f>'Lag Curves'!H400</x:f>
        <x:v>0.10062189323197654</x:v>
      </x:c>
      <x:c r="D48" s="43" t="n">
        <x:f>'Lag Curves'!H450</x:f>
        <x:v>0.029824013508986853</x:v>
      </x:c>
      <x:c r="E48" s="43" t="n">
        <x:f>'Lag Curves'!H475</x:f>
        <x:v>0.12031963370279808</x:v>
      </x:c>
    </x:row>
    <x:row r="49">
      <x:c r="A49" t="n">
        <x:f>'Lag Curves'!G326</x:f>
        <x:v>10</x:v>
      </x:c>
      <x:c r="B49" s="43" t="n">
        <x:f>'Lag Curves'!H326</x:f>
        <x:v>0.021813413575974668</x:v>
      </x:c>
      <x:c r="C49" s="43" t="n">
        <x:f>'Lag Curves'!H401</x:f>
        <x:v>0.03159995268794571</x:v>
      </x:c>
      <x:c r="D49" s="43" t="n">
        <x:f>'Lag Curves'!H451</x:f>
        <x:v>-0.12265898302283407</x:v>
      </x:c>
      <x:c r="E49" s="43" t="n">
        <x:f>'Lag Curves'!H476</x:f>
        <x:v>0.06342104435069362</x:v>
      </x:c>
    </x:row>
    <x:row r="50">
      <x:c r="A50" t="n">
        <x:f>'Lag Curves'!G327</x:f>
        <x:v>15</x:v>
      </x:c>
      <x:c r="B50" s="43" t="n">
        <x:f>'Lag Curves'!H327</x:f>
        <x:v>-0.07919304687631419</x:v>
      </x:c>
      <x:c r="C50" s="43" t="n">
        <x:f>'Lag Curves'!H402</x:f>
        <x:v>0.05647533947285893</x:v>
      </x:c>
      <x:c r="D50" s="43" t="n">
        <x:f>'Lag Curves'!H452</x:f>
        <x:v>0.042341284146276026</x:v>
      </x:c>
      <x:c r="E50" s="43" t="n">
        <x:f>'Lag Curves'!H477</x:f>
        <x:v>0.06784402115960848</x:v>
      </x:c>
    </x:row>
    <x:row r="51">
      <x:c r="A51" t="n">
        <x:f>'Lag Curves'!G328</x:f>
        <x:v>20</x:v>
      </x:c>
      <x:c r="B51" s="43" t="n">
        <x:f>'Lag Curves'!H328</x:f>
        <x:v>0.06252793023876378</x:v>
      </x:c>
      <x:c r="C51" s="43" t="n">
        <x:f>'Lag Curves'!H403</x:f>
        <x:v>0.10261415296640142</x:v>
      </x:c>
      <x:c r="D51" s="43" t="n">
        <x:f>'Lag Curves'!H453</x:f>
        <x:v>-0.06962677956496666</x:v>
      </x:c>
      <x:c r="E51" s="43" t="n">
        <x:f>'Lag Curves'!H478</x:f>
        <x:v>0.0790889763310936</x:v>
      </x:c>
    </x:row>
    <x:row r="52">
      <x:c r="A52" t="n">
        <x:f>'Lag Curves'!G329</x:f>
        <x:v>25</x:v>
      </x:c>
      <x:c r="B52" s="43" t="n">
        <x:f>'Lag Curves'!H329</x:f>
        <x:v>0.017539903148444648</x:v>
      </x:c>
      <x:c r="C52" s="43" t="n">
        <x:f>'Lag Curves'!H404</x:f>
        <x:v>0.013767438508875981</x:v>
      </x:c>
      <x:c r="D52" s="43" t="n">
        <x:f>'Lag Curves'!H454</x:f>
        <x:v>-0.043720444189840724</x:v>
      </x:c>
      <x:c r="E52" s="43" t="n">
        <x:f>'Lag Curves'!H479</x:f>
        <x:v>0.094928490775592</x:v>
      </x:c>
    </x:row>
    <x:row r="53">
      <x:c r="A53" t="n">
        <x:f>'Lag Curves'!G330</x:f>
        <x:v>30</x:v>
      </x:c>
      <x:c r="B53" s="43" t="n">
        <x:f>'Lag Curves'!H330</x:f>
        <x:v>-0.18502435909811737</x:v>
      </x:c>
      <x:c r="C53" s="43" t="n">
        <x:f>'Lag Curves'!H405</x:f>
        <x:v>-0.15526107673261816</x:v>
      </x:c>
      <x:c r="D53" s="43" t="n">
        <x:f>'Lag Curves'!H455</x:f>
        <x:v>-0.15753852175110164</x:v>
      </x:c>
      <x:c r="E53" s="43" t="n">
        <x:f>'Lag Curves'!H480</x:f>
        <x:v>0.1255073282053487</x:v>
      </x:c>
    </x:row>
    <x:row r="54">
      <x:c r="A54" t="n">
        <x:f>'Lag Curves'!G331</x:f>
        <x:v>35</x:v>
      </x:c>
      <x:c r="B54" s="43" t="n">
        <x:f>'Lag Curves'!H331</x:f>
        <x:v>-0.2822881696472443</x:v>
      </x:c>
      <x:c r="C54" s="43" t="n">
        <x:f>'Lag Curves'!H406</x:f>
        <x:v>-0.23697438525395367</x:v>
      </x:c>
      <x:c r="D54" s="43" t="n">
        <x:f>'Lag Curves'!H456</x:f>
        <x:v>-0.38333889262117726</x:v>
      </x:c>
      <x:c r="E54" s="43" t="n">
        <x:f>'Lag Curves'!H481</x:f>
        <x:v>-0.3023672561225258</x:v>
      </x:c>
    </x:row>
    <x:row r="55">
      <x:c r="A55" t="n">
        <x:f>'Lag Curves'!G332</x:f>
        <x:v>40</x:v>
      </x:c>
      <x:c r="B55" s="43" t="n">
        <x:f>'Lag Curves'!H332</x:f>
        <x:v>-0.5710132540515529</x:v>
      </x:c>
      <x:c r="C55" s="43" t="n">
        <x:f>'Lag Curves'!H407</x:f>
        <x:v>-0.24237699998192744</x:v>
      </x:c>
      <x:c r="D55" s="43" t="n">
        <x:f>'Lag Curves'!H457</x:f>
        <x:v>-0.23777453225560602</x:v>
      </x:c>
      <x:c r="E55" s="43" t="n">
        <x:f>'Lag Curves'!H482</x:f>
        <x:v>-0.16601157282580456</x:v>
      </x:c>
    </x:row>
    <x:row r="56">
      <x:c r="A56" t="n">
        <x:f>'Lag Curves'!G333</x:f>
        <x:v>45</x:v>
      </x:c>
      <x:c r="B56" s="43" t="n">
        <x:f>'Lag Curves'!H333</x:f>
        <x:v>-0.40092121249842444</x:v>
      </x:c>
      <x:c r="C56" s="43" t="n">
        <x:f>'Lag Curves'!H408</x:f>
        <x:v>-0.521983800467452</x:v>
      </x:c>
      <x:c r="D56" s="43" t="n">
        <x:f>'Lag Curves'!H458</x:f>
        <x:v>0.0067943622288899365</x:v>
      </x:c>
      <x:c r="E56" s="43" t="n">
        <x:f>'Lag Curves'!H483</x:f>
        <x:v>0.03157467627446539</x:v>
      </x:c>
    </x:row>
    <x:row r="57">
      <x:c r="A57" t="n">
        <x:f>'Lag Curves'!G334</x:f>
        <x:v>50</x:v>
      </x:c>
      <x:c r="B57" s="43" t="n">
        <x:f>'Lag Curves'!H334</x:f>
        <x:v>-0.1379911551234772</x:v>
      </x:c>
      <x:c r="C57" s="43" t="n">
        <x:f>'Lag Curves'!H409</x:f>
        <x:v>-0.1544748996872148</x:v>
      </x:c>
      <x:c r="D57" s="43" t="n">
        <x:f>'Lag Curves'!H459</x:f>
        <x:v>-0.2434870040818481</x:v>
      </x:c>
      <x:c r="E57" s="43" t="n">
        <x:f>'Lag Curves'!H484</x:f>
        <x:v>-0.2286720963405391</x:v>
      </x:c>
    </x:row>
    <x:row r="58">
      <x:c r="A58" t="n">
        <x:f>'Lag Curves'!G335</x:f>
        <x:v>55</x:v>
      </x:c>
      <x:c r="B58" s="43" t="n">
        <x:f>'Lag Curves'!H335</x:f>
        <x:v>-0.04931544286349012</x:v>
      </x:c>
      <x:c r="C58" s="43" t="n">
        <x:f>'Lag Curves'!H410</x:f>
        <x:v>-0.19519732929571387</x:v>
      </x:c>
      <x:c r="D58" s="43" t="n">
        <x:f>'Lag Curves'!H460</x:f>
        <x:v>-0.0246036564719899</x:v>
      </x:c>
      <x:c r="E58" s="43" t="n">
        <x:f>'Lag Curves'!H485</x:f>
        <x:v>-0.22182622034233812</x:v>
      </x:c>
    </x:row>
    <x:row r="59">
      <x:c r="A59" t="n">
        <x:f>'Lag Curves'!G336</x:f>
        <x:v>60</x:v>
      </x:c>
      <x:c r="B59" s="43" t="n">
        <x:f>'Lag Curves'!H336</x:f>
        <x:v>-0.031430255687172254</x:v>
      </x:c>
      <x:c r="C59" s="43" t="n">
        <x:f>'Lag Curves'!H411</x:f>
        <x:v>-0.06199842314467131</x:v>
      </x:c>
      <x:c r="D59" s="43" t="n">
        <x:f>'Lag Curves'!H461</x:f>
        <x:v>-0.0017516024277707412</x:v>
      </x:c>
      <x:c r="E59" s="43" t="n">
        <x:f>'Lag Curves'!H486</x:f>
        <x:v>-0.11270959565047918</x:v>
      </x:c>
    </x:row>
  </x:sheetData>
  <x:mergeCells>
    <x:mergeCell ref="A1:L2"/>
  </x:mergeCells>
  <x:conditionalFormatting sqref="K5:K30">
    <x:cfRule type="cellIs" dxfId="12" priority="1" operator="lessThanOrEqual">
      <x:formula>0.05</x:formula>
    </x:cfRule>
  </x:conditionalFormatting>
  <x:pageMargins left="0.7" right="0.7" top="0.75" bottom="0.75" header="0.3" footer="0.3"/>
  <x:drawing xmlns:r="http://schemas.openxmlformats.org/officeDocument/2006/relationships" r:id="R7e351ed757c34669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9" t="str">
        <x:v>Analysis ID</x:v>
      </x:c>
      <x:c r="B1" s="10" t="str">
        <x:v>Resolution</x:v>
      </x:c>
      <x:c r="C1" s="10" t="str">
        <x:v>Sample</x:v>
      </x:c>
      <x:c r="D1" s="10" t="str">
        <x:v>x</x:v>
      </x:c>
      <x:c r="E1" s="10" t="str">
        <x:v>y</x:v>
      </x:c>
      <x:c r="F1" s="10" t="str">
        <x:v>Lag intervals</x:v>
      </x:c>
      <x:c r="G1" s="10" t="str">
        <x:v>Lag minutes</x:v>
      </x:c>
      <x:c r="H1" s="10" t="str">
        <x:v>Correlation</x:v>
      </x:c>
      <x:c r="I1" s="11" t="str">
        <x:v>Paired observations</x:v>
      </x:c>
    </x:row>
    <x:row r="2">
      <x:c r="A2" s="12" t="str">
        <x:v>1m_30d_plus_event_day_spot_usdt_return_to_spot_usdc_return</x:v>
      </x:c>
      <x:c r="B2" s="12" t="str">
        <x:v>1m</x:v>
      </x:c>
      <x:c r="C2" s="12" t="str">
        <x:v>30d_plus_event_day</x:v>
      </x:c>
      <x:c r="D2" s="12" t="str">
        <x:v>spot_usdt_return</x:v>
      </x:c>
      <x:c r="E2" s="12" t="str">
        <x:v>spot_usdc_return</x:v>
      </x:c>
      <x:c r="F2" s="39" t="n">
        <x:v>-5</x:v>
      </x:c>
      <x:c r="G2" s="39" t="n">
        <x:v>-5</x:v>
      </x:c>
      <x:c r="H2" s="41" t="n">
        <x:v>-0.032357339137776484</x:v>
      </x:c>
      <x:c r="I2" s="16" t="n">
        <x:v>44634</x:v>
      </x:c>
    </x:row>
    <x:row r="3">
      <x:c r="A3" s="13" t="str">
        <x:v>1m_30d_plus_event_day_spot_usdt_return_to_spot_usdc_return</x:v>
      </x:c>
      <x:c r="B3" s="13" t="str">
        <x:v>1m</x:v>
      </x:c>
      <x:c r="C3" s="13" t="str">
        <x:v>30d_plus_event_day</x:v>
      </x:c>
      <x:c r="D3" s="13" t="str">
        <x:v>spot_usdt_return</x:v>
      </x:c>
      <x:c r="E3" s="13" t="str">
        <x:v>spot_usdc_return</x:v>
      </x:c>
      <x:c r="F3" s="40" t="n">
        <x:v>-4</x:v>
      </x:c>
      <x:c r="G3" s="40" t="n">
        <x:v>-4</x:v>
      </x:c>
      <x:c r="H3" s="42" t="n">
        <x:v>0.08646821979671374</x:v>
      </x:c>
      <x:c r="I3" s="17" t="n">
        <x:v>44635</x:v>
      </x:c>
    </x:row>
    <x:row r="4">
      <x:c r="A4" s="13" t="str">
        <x:v>1m_30d_plus_event_day_spot_usdt_return_to_spot_usdc_return</x:v>
      </x:c>
      <x:c r="B4" s="13" t="str">
        <x:v>1m</x:v>
      </x:c>
      <x:c r="C4" s="13" t="str">
        <x:v>30d_plus_event_day</x:v>
      </x:c>
      <x:c r="D4" s="13" t="str">
        <x:v>spot_usdt_return</x:v>
      </x:c>
      <x:c r="E4" s="13" t="str">
        <x:v>spot_usdc_return</x:v>
      </x:c>
      <x:c r="F4" s="40" t="n">
        <x:v>-3</x:v>
      </x:c>
      <x:c r="G4" s="40" t="n">
        <x:v>-3</x:v>
      </x:c>
      <x:c r="H4" s="42" t="n">
        <x:v>0.229811256673457</x:v>
      </x:c>
      <x:c r="I4" s="17" t="n">
        <x:v>44636</x:v>
      </x:c>
    </x:row>
    <x:row r="5">
      <x:c r="A5" s="13" t="str">
        <x:v>1m_30d_plus_event_day_spot_usdt_return_to_spot_usdc_return</x:v>
      </x:c>
      <x:c r="B5" s="13" t="str">
        <x:v>1m</x:v>
      </x:c>
      <x:c r="C5" s="13" t="str">
        <x:v>30d_plus_event_day</x:v>
      </x:c>
      <x:c r="D5" s="13" t="str">
        <x:v>spot_usdt_return</x:v>
      </x:c>
      <x:c r="E5" s="13" t="str">
        <x:v>spot_usdc_return</x:v>
      </x:c>
      <x:c r="F5" s="40" t="n">
        <x:v>-2</x:v>
      </x:c>
      <x:c r="G5" s="40" t="n">
        <x:v>-2</x:v>
      </x:c>
      <x:c r="H5" s="42" t="n">
        <x:v>0.23562691703087582</x:v>
      </x:c>
      <x:c r="I5" s="17" t="n">
        <x:v>44637</x:v>
      </x:c>
    </x:row>
    <x:row r="6">
      <x:c r="A6" s="13" t="str">
        <x:v>1m_30d_plus_event_day_spot_usdt_return_to_spot_usdc_return</x:v>
      </x:c>
      <x:c r="B6" s="13" t="str">
        <x:v>1m</x:v>
      </x:c>
      <x:c r="C6" s="13" t="str">
        <x:v>30d_plus_event_day</x:v>
      </x:c>
      <x:c r="D6" s="13" t="str">
        <x:v>spot_usdt_return</x:v>
      </x:c>
      <x:c r="E6" s="13" t="str">
        <x:v>spot_usdc_return</x:v>
      </x:c>
      <x:c r="F6" s="40" t="n">
        <x:v>-1</x:v>
      </x:c>
      <x:c r="G6" s="40" t="n">
        <x:v>-1</x:v>
      </x:c>
      <x:c r="H6" s="42" t="n">
        <x:v>0.3022297420670039</x:v>
      </x:c>
      <x:c r="I6" s="17" t="n">
        <x:v>44638</x:v>
      </x:c>
    </x:row>
    <x:row r="7">
      <x:c r="A7" s="13" t="str">
        <x:v>1m_30d_plus_event_day_spot_usdt_return_to_spot_usdc_return</x:v>
      </x:c>
      <x:c r="B7" s="13" t="str">
        <x:v>1m</x:v>
      </x:c>
      <x:c r="C7" s="13" t="str">
        <x:v>30d_plus_event_day</x:v>
      </x:c>
      <x:c r="D7" s="13" t="str">
        <x:v>spot_usdt_return</x:v>
      </x:c>
      <x:c r="E7" s="13" t="str">
        <x:v>spot_usdc_return</x:v>
      </x:c>
      <x:c r="F7" s="40" t="n">
        <x:v>0</x:v>
      </x:c>
      <x:c r="G7" s="40" t="n">
        <x:v>0</x:v>
      </x:c>
      <x:c r="H7" s="42" t="n">
        <x:v>0.8734669193167249</x:v>
      </x:c>
      <x:c r="I7" s="17" t="n">
        <x:v>44639</x:v>
      </x:c>
    </x:row>
    <x:row r="8">
      <x:c r="A8" s="13" t="str">
        <x:v>1m_30d_plus_event_day_spot_usdt_return_to_spot_usdc_return</x:v>
      </x:c>
      <x:c r="B8" s="13" t="str">
        <x:v>1m</x:v>
      </x:c>
      <x:c r="C8" s="13" t="str">
        <x:v>30d_plus_event_day</x:v>
      </x:c>
      <x:c r="D8" s="13" t="str">
        <x:v>spot_usdt_return</x:v>
      </x:c>
      <x:c r="E8" s="13" t="str">
        <x:v>spot_usdc_return</x:v>
      </x:c>
      <x:c r="F8" s="40" t="n">
        <x:v>1</x:v>
      </x:c>
      <x:c r="G8" s="40" t="n">
        <x:v>1</x:v>
      </x:c>
      <x:c r="H8" s="42" t="n">
        <x:v>0.24938362698112</x:v>
      </x:c>
      <x:c r="I8" s="17" t="n">
        <x:v>44638</x:v>
      </x:c>
    </x:row>
    <x:row r="9">
      <x:c r="A9" s="13" t="str">
        <x:v>1m_30d_plus_event_day_spot_usdt_return_to_spot_usdc_return</x:v>
      </x:c>
      <x:c r="B9" s="13" t="str">
        <x:v>1m</x:v>
      </x:c>
      <x:c r="C9" s="13" t="str">
        <x:v>30d_plus_event_day</x:v>
      </x:c>
      <x:c r="D9" s="13" t="str">
        <x:v>spot_usdt_return</x:v>
      </x:c>
      <x:c r="E9" s="13" t="str">
        <x:v>spot_usdc_return</x:v>
      </x:c>
      <x:c r="F9" s="40" t="n">
        <x:v>2</x:v>
      </x:c>
      <x:c r="G9" s="40" t="n">
        <x:v>2</x:v>
      </x:c>
      <x:c r="H9" s="42" t="n">
        <x:v>0.3354756944845006</x:v>
      </x:c>
      <x:c r="I9" s="17" t="n">
        <x:v>44637</x:v>
      </x:c>
    </x:row>
    <x:row r="10">
      <x:c r="A10" s="13" t="str">
        <x:v>1m_30d_plus_event_day_spot_usdt_return_to_spot_usdc_return</x:v>
      </x:c>
      <x:c r="B10" s="13" t="str">
        <x:v>1m</x:v>
      </x:c>
      <x:c r="C10" s="13" t="str">
        <x:v>30d_plus_event_day</x:v>
      </x:c>
      <x:c r="D10" s="13" t="str">
        <x:v>spot_usdt_return</x:v>
      </x:c>
      <x:c r="E10" s="13" t="str">
        <x:v>spot_usdc_return</x:v>
      </x:c>
      <x:c r="F10" s="40" t="n">
        <x:v>3</x:v>
      </x:c>
      <x:c r="G10" s="40" t="n">
        <x:v>3</x:v>
      </x:c>
      <x:c r="H10" s="42" t="n">
        <x:v>0.25449168964467156</x:v>
      </x:c>
      <x:c r="I10" s="17" t="n">
        <x:v>44636</x:v>
      </x:c>
    </x:row>
    <x:row r="11">
      <x:c r="A11" s="13" t="str">
        <x:v>1m_30d_plus_event_day_spot_usdt_return_to_spot_usdc_return</x:v>
      </x:c>
      <x:c r="B11" s="13" t="str">
        <x:v>1m</x:v>
      </x:c>
      <x:c r="C11" s="13" t="str">
        <x:v>30d_plus_event_day</x:v>
      </x:c>
      <x:c r="D11" s="13" t="str">
        <x:v>spot_usdt_return</x:v>
      </x:c>
      <x:c r="E11" s="13" t="str">
        <x:v>spot_usdc_return</x:v>
      </x:c>
      <x:c r="F11" s="40" t="n">
        <x:v>4</x:v>
      </x:c>
      <x:c r="G11" s="40" t="n">
        <x:v>4</x:v>
      </x:c>
      <x:c r="H11" s="42" t="n">
        <x:v>0.14307591228457378</x:v>
      </x:c>
      <x:c r="I11" s="17" t="n">
        <x:v>44635</x:v>
      </x:c>
    </x:row>
    <x:row r="12">
      <x:c r="A12" s="13" t="str">
        <x:v>1m_30d_plus_event_day_spot_usdt_return_to_spot_usdc_return</x:v>
      </x:c>
      <x:c r="B12" s="13" t="str">
        <x:v>1m</x:v>
      </x:c>
      <x:c r="C12" s="13" t="str">
        <x:v>30d_plus_event_day</x:v>
      </x:c>
      <x:c r="D12" s="13" t="str">
        <x:v>spot_usdt_return</x:v>
      </x:c>
      <x:c r="E12" s="13" t="str">
        <x:v>spot_usdc_return</x:v>
      </x:c>
      <x:c r="F12" s="40" t="n">
        <x:v>5</x:v>
      </x:c>
      <x:c r="G12" s="40" t="n">
        <x:v>5</x:v>
      </x:c>
      <x:c r="H12" s="42" t="n">
        <x:v>-0.1387650287107454</x:v>
      </x:c>
      <x:c r="I12" s="17" t="n">
        <x:v>44634</x:v>
      </x:c>
    </x:row>
    <x:row r="13">
      <x:c r="A13" s="13" t="str">
        <x:v>1m_30d_plus_event_day_futures_return_to_spot_usdt_return</x:v>
      </x:c>
      <x:c r="B13" s="13" t="str">
        <x:v>1m</x:v>
      </x:c>
      <x:c r="C13" s="13" t="str">
        <x:v>30d_plus_event_day</x:v>
      </x:c>
      <x:c r="D13" s="13" t="str">
        <x:v>futures_return</x:v>
      </x:c>
      <x:c r="E13" s="13" t="str">
        <x:v>spot_usdt_return</x:v>
      </x:c>
      <x:c r="F13" s="40" t="n">
        <x:v>-5</x:v>
      </x:c>
      <x:c r="G13" s="40" t="n">
        <x:v>-5</x:v>
      </x:c>
      <x:c r="H13" s="42" t="n">
        <x:v>-0.05147455119520626</x:v>
      </x:c>
      <x:c r="I13" s="17" t="n">
        <x:v>44634</x:v>
      </x:c>
    </x:row>
    <x:row r="14">
      <x:c r="A14" s="13" t="str">
        <x:v>1m_30d_plus_event_day_futures_return_to_spot_usdt_return</x:v>
      </x:c>
      <x:c r="B14" s="13" t="str">
        <x:v>1m</x:v>
      </x:c>
      <x:c r="C14" s="13" t="str">
        <x:v>30d_plus_event_day</x:v>
      </x:c>
      <x:c r="D14" s="13" t="str">
        <x:v>futures_return</x:v>
      </x:c>
      <x:c r="E14" s="13" t="str">
        <x:v>spot_usdt_return</x:v>
      </x:c>
      <x:c r="F14" s="40" t="n">
        <x:v>-4</x:v>
      </x:c>
      <x:c r="G14" s="40" t="n">
        <x:v>-4</x:v>
      </x:c>
      <x:c r="H14" s="42" t="n">
        <x:v>0.00977775859130712</x:v>
      </x:c>
      <x:c r="I14" s="17" t="n">
        <x:v>44635</x:v>
      </x:c>
    </x:row>
    <x:row r="15">
      <x:c r="A15" s="13" t="str">
        <x:v>1m_30d_plus_event_day_futures_return_to_spot_usdt_return</x:v>
      </x:c>
      <x:c r="B15" s="13" t="str">
        <x:v>1m</x:v>
      </x:c>
      <x:c r="C15" s="13" t="str">
        <x:v>30d_plus_event_day</x:v>
      </x:c>
      <x:c r="D15" s="13" t="str">
        <x:v>futures_return</x:v>
      </x:c>
      <x:c r="E15" s="13" t="str">
        <x:v>spot_usdt_return</x:v>
      </x:c>
      <x:c r="F15" s="40" t="n">
        <x:v>-3</x:v>
      </x:c>
      <x:c r="G15" s="40" t="n">
        <x:v>-3</x:v>
      </x:c>
      <x:c r="H15" s="42" t="n">
        <x:v>0.17136775308670493</x:v>
      </x:c>
      <x:c r="I15" s="17" t="n">
        <x:v>44636</x:v>
      </x:c>
    </x:row>
    <x:row r="16">
      <x:c r="A16" s="13" t="str">
        <x:v>1m_30d_plus_event_day_futures_return_to_spot_usdt_return</x:v>
      </x:c>
      <x:c r="B16" s="13" t="str">
        <x:v>1m</x:v>
      </x:c>
      <x:c r="C16" s="13" t="str">
        <x:v>30d_plus_event_day</x:v>
      </x:c>
      <x:c r="D16" s="13" t="str">
        <x:v>futures_return</x:v>
      </x:c>
      <x:c r="E16" s="13" t="str">
        <x:v>spot_usdt_return</x:v>
      </x:c>
      <x:c r="F16" s="40" t="n">
        <x:v>-2</x:v>
      </x:c>
      <x:c r="G16" s="40" t="n">
        <x:v>-2</x:v>
      </x:c>
      <x:c r="H16" s="42" t="n">
        <x:v>0.4124095899663783</x:v>
      </x:c>
      <x:c r="I16" s="17" t="n">
        <x:v>44637</x:v>
      </x:c>
    </x:row>
    <x:row r="17">
      <x:c r="A17" s="13" t="str">
        <x:v>1m_30d_plus_event_day_futures_return_to_spot_usdt_return</x:v>
      </x:c>
      <x:c r="B17" s="13" t="str">
        <x:v>1m</x:v>
      </x:c>
      <x:c r="C17" s="13" t="str">
        <x:v>30d_plus_event_day</x:v>
      </x:c>
      <x:c r="D17" s="13" t="str">
        <x:v>futures_return</x:v>
      </x:c>
      <x:c r="E17" s="13" t="str">
        <x:v>spot_usdt_return</x:v>
      </x:c>
      <x:c r="F17" s="40" t="n">
        <x:v>-1</x:v>
      </x:c>
      <x:c r="G17" s="40" t="n">
        <x:v>-1</x:v>
      </x:c>
      <x:c r="H17" s="42" t="n">
        <x:v>0.35853651997363034</x:v>
      </x:c>
      <x:c r="I17" s="17" t="n">
        <x:v>44638</x:v>
      </x:c>
    </x:row>
    <x:row r="18">
      <x:c r="A18" s="13" t="str">
        <x:v>1m_30d_plus_event_day_futures_return_to_spot_usdt_return</x:v>
      </x:c>
      <x:c r="B18" s="13" t="str">
        <x:v>1m</x:v>
      </x:c>
      <x:c r="C18" s="13" t="str">
        <x:v>30d_plus_event_day</x:v>
      </x:c>
      <x:c r="D18" s="13" t="str">
        <x:v>futures_return</x:v>
      </x:c>
      <x:c r="E18" s="13" t="str">
        <x:v>spot_usdt_return</x:v>
      </x:c>
      <x:c r="F18" s="40" t="n">
        <x:v>0</x:v>
      </x:c>
      <x:c r="G18" s="40" t="n">
        <x:v>0</x:v>
      </x:c>
      <x:c r="H18" s="42" t="n">
        <x:v>0.727130836767086</x:v>
      </x:c>
      <x:c r="I18" s="17" t="n">
        <x:v>44639</x:v>
      </x:c>
    </x:row>
    <x:row r="19">
      <x:c r="A19" s="13" t="str">
        <x:v>1m_30d_plus_event_day_futures_return_to_spot_usdt_return</x:v>
      </x:c>
      <x:c r="B19" s="13" t="str">
        <x:v>1m</x:v>
      </x:c>
      <x:c r="C19" s="13" t="str">
        <x:v>30d_plus_event_day</x:v>
      </x:c>
      <x:c r="D19" s="13" t="str">
        <x:v>futures_return</x:v>
      </x:c>
      <x:c r="E19" s="13" t="str">
        <x:v>spot_usdt_return</x:v>
      </x:c>
      <x:c r="F19" s="40" t="n">
        <x:v>1</x:v>
      </x:c>
      <x:c r="G19" s="40" t="n">
        <x:v>1</x:v>
      </x:c>
      <x:c r="H19" s="42" t="n">
        <x:v>0.46746091732255557</x:v>
      </x:c>
      <x:c r="I19" s="17" t="n">
        <x:v>44638</x:v>
      </x:c>
    </x:row>
    <x:row r="20">
      <x:c r="A20" s="13" t="str">
        <x:v>1m_30d_plus_event_day_futures_return_to_spot_usdt_return</x:v>
      </x:c>
      <x:c r="B20" s="13" t="str">
        <x:v>1m</x:v>
      </x:c>
      <x:c r="C20" s="13" t="str">
        <x:v>30d_plus_event_day</x:v>
      </x:c>
      <x:c r="D20" s="13" t="str">
        <x:v>futures_return</x:v>
      </x:c>
      <x:c r="E20" s="13" t="str">
        <x:v>spot_usdt_return</x:v>
      </x:c>
      <x:c r="F20" s="40" t="n">
        <x:v>2</x:v>
      </x:c>
      <x:c r="G20" s="40" t="n">
        <x:v>2</x:v>
      </x:c>
      <x:c r="H20" s="42" t="n">
        <x:v>0.2295944786937253</x:v>
      </x:c>
      <x:c r="I20" s="17" t="n">
        <x:v>44637</x:v>
      </x:c>
    </x:row>
    <x:row r="21">
      <x:c r="A21" s="13" t="str">
        <x:v>1m_30d_plus_event_day_futures_return_to_spot_usdt_return</x:v>
      </x:c>
      <x:c r="B21" s="13" t="str">
        <x:v>1m</x:v>
      </x:c>
      <x:c r="C21" s="13" t="str">
        <x:v>30d_plus_event_day</x:v>
      </x:c>
      <x:c r="D21" s="13" t="str">
        <x:v>futures_return</x:v>
      </x:c>
      <x:c r="E21" s="13" t="str">
        <x:v>spot_usdt_return</x:v>
      </x:c>
      <x:c r="F21" s="40" t="n">
        <x:v>3</x:v>
      </x:c>
      <x:c r="G21" s="40" t="n">
        <x:v>3</x:v>
      </x:c>
      <x:c r="H21" s="42" t="n">
        <x:v>0.25165955114540217</x:v>
      </x:c>
      <x:c r="I21" s="17" t="n">
        <x:v>44636</x:v>
      </x:c>
    </x:row>
    <x:row r="22">
      <x:c r="A22" s="13" t="str">
        <x:v>1m_30d_plus_event_day_futures_return_to_spot_usdt_return</x:v>
      </x:c>
      <x:c r="B22" s="13" t="str">
        <x:v>1m</x:v>
      </x:c>
      <x:c r="C22" s="13" t="str">
        <x:v>30d_plus_event_day</x:v>
      </x:c>
      <x:c r="D22" s="13" t="str">
        <x:v>futures_return</x:v>
      </x:c>
      <x:c r="E22" s="13" t="str">
        <x:v>spot_usdt_return</x:v>
      </x:c>
      <x:c r="F22" s="40" t="n">
        <x:v>4</x:v>
      </x:c>
      <x:c r="G22" s="40" t="n">
        <x:v>4</x:v>
      </x:c>
      <x:c r="H22" s="42" t="n">
        <x:v>0.11436504418109417</x:v>
      </x:c>
      <x:c r="I22" s="17" t="n">
        <x:v>44635</x:v>
      </x:c>
    </x:row>
    <x:row r="23">
      <x:c r="A23" s="13" t="str">
        <x:v>1m_30d_plus_event_day_futures_return_to_spot_usdt_return</x:v>
      </x:c>
      <x:c r="B23" s="13" t="str">
        <x:v>1m</x:v>
      </x:c>
      <x:c r="C23" s="13" t="str">
        <x:v>30d_plus_event_day</x:v>
      </x:c>
      <x:c r="D23" s="13" t="str">
        <x:v>futures_return</x:v>
      </x:c>
      <x:c r="E23" s="13" t="str">
        <x:v>spot_usdt_return</x:v>
      </x:c>
      <x:c r="F23" s="40" t="n">
        <x:v>5</x:v>
      </x:c>
      <x:c r="G23" s="40" t="n">
        <x:v>5</x:v>
      </x:c>
      <x:c r="H23" s="42" t="n">
        <x:v>0.06281225823575279</x:v>
      </x:c>
      <x:c r="I23" s="17" t="n">
        <x:v>44634</x:v>
      </x:c>
    </x:row>
    <x:row r="24">
      <x:c r="A24" s="13" t="str">
        <x:v>1m_30d_plus_event_day_spot_usdt_return_to_mark_return</x:v>
      </x:c>
      <x:c r="B24" s="13" t="str">
        <x:v>1m</x:v>
      </x:c>
      <x:c r="C24" s="13" t="str">
        <x:v>30d_plus_event_day</x:v>
      </x:c>
      <x:c r="D24" s="13" t="str">
        <x:v>spot_usdt_return</x:v>
      </x:c>
      <x:c r="E24" s="13" t="str">
        <x:v>mark_return</x:v>
      </x:c>
      <x:c r="F24" s="40" t="n">
        <x:v>-5</x:v>
      </x:c>
      <x:c r="G24" s="40" t="n">
        <x:v>-5</x:v>
      </x:c>
      <x:c r="H24" s="42" t="n">
        <x:v>0.030818067922776363</x:v>
      </x:c>
      <x:c r="I24" s="17" t="n">
        <x:v>44634</x:v>
      </x:c>
    </x:row>
    <x:row r="25">
      <x:c r="A25" s="13" t="str">
        <x:v>1m_30d_plus_event_day_spot_usdt_return_to_mark_return</x:v>
      </x:c>
      <x:c r="B25" s="13" t="str">
        <x:v>1m</x:v>
      </x:c>
      <x:c r="C25" s="13" t="str">
        <x:v>30d_plus_event_day</x:v>
      </x:c>
      <x:c r="D25" s="13" t="str">
        <x:v>spot_usdt_return</x:v>
      </x:c>
      <x:c r="E25" s="13" t="str">
        <x:v>mark_return</x:v>
      </x:c>
      <x:c r="F25" s="40" t="n">
        <x:v>-4</x:v>
      </x:c>
      <x:c r="G25" s="40" t="n">
        <x:v>-4</x:v>
      </x:c>
      <x:c r="H25" s="42" t="n">
        <x:v>0.13863947276459945</x:v>
      </x:c>
      <x:c r="I25" s="17" t="n">
        <x:v>44635</x:v>
      </x:c>
    </x:row>
    <x:row r="26">
      <x:c r="A26" s="13" t="str">
        <x:v>1m_30d_plus_event_day_spot_usdt_return_to_mark_return</x:v>
      </x:c>
      <x:c r="B26" s="13" t="str">
        <x:v>1m</x:v>
      </x:c>
      <x:c r="C26" s="13" t="str">
        <x:v>30d_plus_event_day</x:v>
      </x:c>
      <x:c r="D26" s="13" t="str">
        <x:v>spot_usdt_return</x:v>
      </x:c>
      <x:c r="E26" s="13" t="str">
        <x:v>mark_return</x:v>
      </x:c>
      <x:c r="F26" s="40" t="n">
        <x:v>-3</x:v>
      </x:c>
      <x:c r="G26" s="40" t="n">
        <x:v>-3</x:v>
      </x:c>
      <x:c r="H26" s="42" t="n">
        <x:v>0.23828390638192534</x:v>
      </x:c>
      <x:c r="I26" s="17" t="n">
        <x:v>44636</x:v>
      </x:c>
    </x:row>
    <x:row r="27">
      <x:c r="A27" s="13" t="str">
        <x:v>1m_30d_plus_event_day_spot_usdt_return_to_mark_return</x:v>
      </x:c>
      <x:c r="B27" s="13" t="str">
        <x:v>1m</x:v>
      </x:c>
      <x:c r="C27" s="13" t="str">
        <x:v>30d_plus_event_day</x:v>
      </x:c>
      <x:c r="D27" s="13" t="str">
        <x:v>spot_usdt_return</x:v>
      </x:c>
      <x:c r="E27" s="13" t="str">
        <x:v>mark_return</x:v>
      </x:c>
      <x:c r="F27" s="40" t="n">
        <x:v>-2</x:v>
      </x:c>
      <x:c r="G27" s="40" t="n">
        <x:v>-2</x:v>
      </x:c>
      <x:c r="H27" s="42" t="n">
        <x:v>0.2120448546551494</x:v>
      </x:c>
      <x:c r="I27" s="17" t="n">
        <x:v>44637</x:v>
      </x:c>
    </x:row>
    <x:row r="28">
      <x:c r="A28" s="13" t="str">
        <x:v>1m_30d_plus_event_day_spot_usdt_return_to_mark_return</x:v>
      </x:c>
      <x:c r="B28" s="13" t="str">
        <x:v>1m</x:v>
      </x:c>
      <x:c r="C28" s="13" t="str">
        <x:v>30d_plus_event_day</x:v>
      </x:c>
      <x:c r="D28" s="13" t="str">
        <x:v>spot_usdt_return</x:v>
      </x:c>
      <x:c r="E28" s="13" t="str">
        <x:v>mark_return</x:v>
      </x:c>
      <x:c r="F28" s="40" t="n">
        <x:v>-1</x:v>
      </x:c>
      <x:c r="G28" s="40" t="n">
        <x:v>-1</x:v>
      </x:c>
      <x:c r="H28" s="42" t="n">
        <x:v>0.43807767837451034</x:v>
      </x:c>
      <x:c r="I28" s="17" t="n">
        <x:v>44638</x:v>
      </x:c>
    </x:row>
    <x:row r="29">
      <x:c r="A29" s="13" t="str">
        <x:v>1m_30d_plus_event_day_spot_usdt_return_to_mark_return</x:v>
      </x:c>
      <x:c r="B29" s="13" t="str">
        <x:v>1m</x:v>
      </x:c>
      <x:c r="C29" s="13" t="str">
        <x:v>30d_plus_event_day</x:v>
      </x:c>
      <x:c r="D29" s="13" t="str">
        <x:v>spot_usdt_return</x:v>
      </x:c>
      <x:c r="E29" s="13" t="str">
        <x:v>mark_return</x:v>
      </x:c>
      <x:c r="F29" s="40" t="n">
        <x:v>0</x:v>
      </x:c>
      <x:c r="G29" s="40" t="n">
        <x:v>0</x:v>
      </x:c>
      <x:c r="H29" s="42" t="n">
        <x:v>0.7947938624765615</x:v>
      </x:c>
      <x:c r="I29" s="17" t="n">
        <x:v>44639</x:v>
      </x:c>
    </x:row>
    <x:row r="30">
      <x:c r="A30" s="13" t="str">
        <x:v>1m_30d_plus_event_day_spot_usdt_return_to_mark_return</x:v>
      </x:c>
      <x:c r="B30" s="13" t="str">
        <x:v>1m</x:v>
      </x:c>
      <x:c r="C30" s="13" t="str">
        <x:v>30d_plus_event_day</x:v>
      </x:c>
      <x:c r="D30" s="13" t="str">
        <x:v>spot_usdt_return</x:v>
      </x:c>
      <x:c r="E30" s="13" t="str">
        <x:v>mark_return</x:v>
      </x:c>
      <x:c r="F30" s="40" t="n">
        <x:v>1</x:v>
      </x:c>
      <x:c r="G30" s="40" t="n">
        <x:v>1</x:v>
      </x:c>
      <x:c r="H30" s="42" t="n">
        <x:v>0.3134656304891718</x:v>
      </x:c>
      <x:c r="I30" s="17" t="n">
        <x:v>44638</x:v>
      </x:c>
    </x:row>
    <x:row r="31">
      <x:c r="A31" s="13" t="str">
        <x:v>1m_30d_plus_event_day_spot_usdt_return_to_mark_return</x:v>
      </x:c>
      <x:c r="B31" s="13" t="str">
        <x:v>1m</x:v>
      </x:c>
      <x:c r="C31" s="13" t="str">
        <x:v>30d_plus_event_day</x:v>
      </x:c>
      <x:c r="D31" s="13" t="str">
        <x:v>spot_usdt_return</x:v>
      </x:c>
      <x:c r="E31" s="13" t="str">
        <x:v>mark_return</x:v>
      </x:c>
      <x:c r="F31" s="40" t="n">
        <x:v>2</x:v>
      </x:c>
      <x:c r="G31" s="40" t="n">
        <x:v>2</x:v>
      </x:c>
      <x:c r="H31" s="42" t="n">
        <x:v>0.4109022167433745</x:v>
      </x:c>
      <x:c r="I31" s="17" t="n">
        <x:v>44637</x:v>
      </x:c>
    </x:row>
    <x:row r="32">
      <x:c r="A32" s="13" t="str">
        <x:v>1m_30d_plus_event_day_spot_usdt_return_to_mark_return</x:v>
      </x:c>
      <x:c r="B32" s="13" t="str">
        <x:v>1m</x:v>
      </x:c>
      <x:c r="C32" s="13" t="str">
        <x:v>30d_plus_event_day</x:v>
      </x:c>
      <x:c r="D32" s="13" t="str">
        <x:v>spot_usdt_return</x:v>
      </x:c>
      <x:c r="E32" s="13" t="str">
        <x:v>mark_return</x:v>
      </x:c>
      <x:c r="F32" s="40" t="n">
        <x:v>3</x:v>
      </x:c>
      <x:c r="G32" s="40" t="n">
        <x:v>3</x:v>
      </x:c>
      <x:c r="H32" s="42" t="n">
        <x:v>0.22015034441585243</x:v>
      </x:c>
      <x:c r="I32" s="17" t="n">
        <x:v>44636</x:v>
      </x:c>
    </x:row>
    <x:row r="33">
      <x:c r="A33" s="13" t="str">
        <x:v>1m_30d_plus_event_day_spot_usdt_return_to_mark_return</x:v>
      </x:c>
      <x:c r="B33" s="13" t="str">
        <x:v>1m</x:v>
      </x:c>
      <x:c r="C33" s="13" t="str">
        <x:v>30d_plus_event_day</x:v>
      </x:c>
      <x:c r="D33" s="13" t="str">
        <x:v>spot_usdt_return</x:v>
      </x:c>
      <x:c r="E33" s="13" t="str">
        <x:v>mark_return</x:v>
      </x:c>
      <x:c r="F33" s="40" t="n">
        <x:v>4</x:v>
      </x:c>
      <x:c r="G33" s="40" t="n">
        <x:v>4</x:v>
      </x:c>
      <x:c r="H33" s="42" t="n">
        <x:v>0.012720255746898966</x:v>
      </x:c>
      <x:c r="I33" s="17" t="n">
        <x:v>44635</x:v>
      </x:c>
    </x:row>
    <x:row r="34">
      <x:c r="A34" s="13" t="str">
        <x:v>1m_30d_plus_event_day_spot_usdt_return_to_mark_return</x:v>
      </x:c>
      <x:c r="B34" s="13" t="str">
        <x:v>1m</x:v>
      </x:c>
      <x:c r="C34" s="13" t="str">
        <x:v>30d_plus_event_day</x:v>
      </x:c>
      <x:c r="D34" s="13" t="str">
        <x:v>spot_usdt_return</x:v>
      </x:c>
      <x:c r="E34" s="13" t="str">
        <x:v>mark_return</x:v>
      </x:c>
      <x:c r="F34" s="40" t="n">
        <x:v>5</x:v>
      </x:c>
      <x:c r="G34" s="40" t="n">
        <x:v>5</x:v>
      </x:c>
      <x:c r="H34" s="42" t="n">
        <x:v>-0.0977655955756569</x:v>
      </x:c>
      <x:c r="I34" s="17" t="n">
        <x:v>44634</x:v>
      </x:c>
    </x:row>
    <x:row r="35">
      <x:c r="A35" s="13" t="str">
        <x:v>1m_30d_plus_event_day_spot_trade_activity_to_spot_range_stress</x:v>
      </x:c>
      <x:c r="B35" s="13" t="str">
        <x:v>1m</x:v>
      </x:c>
      <x:c r="C35" s="13" t="str">
        <x:v>30d_plus_event_day</x:v>
      </x:c>
      <x:c r="D35" s="13" t="str">
        <x:v>spot_trade_activity</x:v>
      </x:c>
      <x:c r="E35" s="13" t="str">
        <x:v>spot_range_stress</x:v>
      </x:c>
      <x:c r="F35" s="40" t="n">
        <x:v>-5</x:v>
      </x:c>
      <x:c r="G35" s="40" t="n">
        <x:v>-5</x:v>
      </x:c>
      <x:c r="H35" s="42" t="n">
        <x:v>0.04737125443014851</x:v>
      </x:c>
      <x:c r="I35" s="17" t="n">
        <x:v>44635</x:v>
      </x:c>
    </x:row>
    <x:row r="36">
      <x:c r="A36" s="13" t="str">
        <x:v>1m_30d_plus_event_day_spot_trade_activity_to_spot_range_stress</x:v>
      </x:c>
      <x:c r="B36" s="13" t="str">
        <x:v>1m</x:v>
      </x:c>
      <x:c r="C36" s="13" t="str">
        <x:v>30d_plus_event_day</x:v>
      </x:c>
      <x:c r="D36" s="13" t="str">
        <x:v>spot_trade_activity</x:v>
      </x:c>
      <x:c r="E36" s="13" t="str">
        <x:v>spot_range_stress</x:v>
      </x:c>
      <x:c r="F36" s="40" t="n">
        <x:v>-4</x:v>
      </x:c>
      <x:c r="G36" s="40" t="n">
        <x:v>-4</x:v>
      </x:c>
      <x:c r="H36" s="42" t="n">
        <x:v>0.05141771790162094</x:v>
      </x:c>
      <x:c r="I36" s="17" t="n">
        <x:v>44636</x:v>
      </x:c>
    </x:row>
    <x:row r="37">
      <x:c r="A37" s="13" t="str">
        <x:v>1m_30d_plus_event_day_spot_trade_activity_to_spot_range_stress</x:v>
      </x:c>
      <x:c r="B37" s="13" t="str">
        <x:v>1m</x:v>
      </x:c>
      <x:c r="C37" s="13" t="str">
        <x:v>30d_plus_event_day</x:v>
      </x:c>
      <x:c r="D37" s="13" t="str">
        <x:v>spot_trade_activity</x:v>
      </x:c>
      <x:c r="E37" s="13" t="str">
        <x:v>spot_range_stress</x:v>
      </x:c>
      <x:c r="F37" s="40" t="n">
        <x:v>-3</x:v>
      </x:c>
      <x:c r="G37" s="40" t="n">
        <x:v>-3</x:v>
      </x:c>
      <x:c r="H37" s="42" t="n">
        <x:v>0.051641154458073074</x:v>
      </x:c>
      <x:c r="I37" s="17" t="n">
        <x:v>44637</x:v>
      </x:c>
    </x:row>
    <x:row r="38">
      <x:c r="A38" s="13" t="str">
        <x:v>1m_30d_plus_event_day_spot_trade_activity_to_spot_range_stress</x:v>
      </x:c>
      <x:c r="B38" s="13" t="str">
        <x:v>1m</x:v>
      </x:c>
      <x:c r="C38" s="13" t="str">
        <x:v>30d_plus_event_day</x:v>
      </x:c>
      <x:c r="D38" s="13" t="str">
        <x:v>spot_trade_activity</x:v>
      </x:c>
      <x:c r="E38" s="13" t="str">
        <x:v>spot_range_stress</x:v>
      </x:c>
      <x:c r="F38" s="40" t="n">
        <x:v>-2</x:v>
      </x:c>
      <x:c r="G38" s="40" t="n">
        <x:v>-2</x:v>
      </x:c>
      <x:c r="H38" s="42" t="n">
        <x:v>0.05004431073988015</x:v>
      </x:c>
      <x:c r="I38" s="17" t="n">
        <x:v>44638</x:v>
      </x:c>
    </x:row>
    <x:row r="39">
      <x:c r="A39" s="13" t="str">
        <x:v>1m_30d_plus_event_day_spot_trade_activity_to_spot_range_stress</x:v>
      </x:c>
      <x:c r="B39" s="13" t="str">
        <x:v>1m</x:v>
      </x:c>
      <x:c r="C39" s="13" t="str">
        <x:v>30d_plus_event_day</x:v>
      </x:c>
      <x:c r="D39" s="13" t="str">
        <x:v>spot_trade_activity</x:v>
      </x:c>
      <x:c r="E39" s="13" t="str">
        <x:v>spot_range_stress</x:v>
      </x:c>
      <x:c r="F39" s="40" t="n">
        <x:v>-1</x:v>
      </x:c>
      <x:c r="G39" s="40" t="n">
        <x:v>-1</x:v>
      </x:c>
      <x:c r="H39" s="42" t="n">
        <x:v>0.04978334896539871</x:v>
      </x:c>
      <x:c r="I39" s="17" t="n">
        <x:v>44639</x:v>
      </x:c>
    </x:row>
    <x:row r="40">
      <x:c r="A40" s="13" t="str">
        <x:v>1m_30d_plus_event_day_spot_trade_activity_to_spot_range_stress</x:v>
      </x:c>
      <x:c r="B40" s="13" t="str">
        <x:v>1m</x:v>
      </x:c>
      <x:c r="C40" s="13" t="str">
        <x:v>30d_plus_event_day</x:v>
      </x:c>
      <x:c r="D40" s="13" t="str">
        <x:v>spot_trade_activity</x:v>
      </x:c>
      <x:c r="E40" s="13" t="str">
        <x:v>spot_range_stress</x:v>
      </x:c>
      <x:c r="F40" s="40" t="n">
        <x:v>0</x:v>
      </x:c>
      <x:c r="G40" s="40" t="n">
        <x:v>0</x:v>
      </x:c>
      <x:c r="H40" s="42" t="n">
        <x:v>0.05610335891875217</x:v>
      </x:c>
      <x:c r="I40" s="17" t="n">
        <x:v>44640</x:v>
      </x:c>
    </x:row>
    <x:row r="41">
      <x:c r="A41" s="13" t="str">
        <x:v>1m_30d_plus_event_day_spot_trade_activity_to_spot_range_stress</x:v>
      </x:c>
      <x:c r="B41" s="13" t="str">
        <x:v>1m</x:v>
      </x:c>
      <x:c r="C41" s="13" t="str">
        <x:v>30d_plus_event_day</x:v>
      </x:c>
      <x:c r="D41" s="13" t="str">
        <x:v>spot_trade_activity</x:v>
      </x:c>
      <x:c r="E41" s="13" t="str">
        <x:v>spot_range_stress</x:v>
      </x:c>
      <x:c r="F41" s="40" t="n">
        <x:v>1</x:v>
      </x:c>
      <x:c r="G41" s="40" t="n">
        <x:v>1</x:v>
      </x:c>
      <x:c r="H41" s="42" t="n">
        <x:v>0.04964166791275715</x:v>
      </x:c>
      <x:c r="I41" s="17" t="n">
        <x:v>44639</x:v>
      </x:c>
    </x:row>
    <x:row r="42">
      <x:c r="A42" s="13" t="str">
        <x:v>1m_30d_plus_event_day_spot_trade_activity_to_spot_range_stress</x:v>
      </x:c>
      <x:c r="B42" s="13" t="str">
        <x:v>1m</x:v>
      </x:c>
      <x:c r="C42" s="13" t="str">
        <x:v>30d_plus_event_day</x:v>
      </x:c>
      <x:c r="D42" s="13" t="str">
        <x:v>spot_trade_activity</x:v>
      </x:c>
      <x:c r="E42" s="13" t="str">
        <x:v>spot_range_stress</x:v>
      </x:c>
      <x:c r="F42" s="40" t="n">
        <x:v>2</x:v>
      </x:c>
      <x:c r="G42" s="40" t="n">
        <x:v>2</x:v>
      </x:c>
      <x:c r="H42" s="42" t="n">
        <x:v>0.04991473667150225</x:v>
      </x:c>
      <x:c r="I42" s="17" t="n">
        <x:v>44638</x:v>
      </x:c>
    </x:row>
    <x:row r="43">
      <x:c r="A43" s="13" t="str">
        <x:v>1m_30d_plus_event_day_spot_trade_activity_to_spot_range_stress</x:v>
      </x:c>
      <x:c r="B43" s="13" t="str">
        <x:v>1m</x:v>
      </x:c>
      <x:c r="C43" s="13" t="str">
        <x:v>30d_plus_event_day</x:v>
      </x:c>
      <x:c r="D43" s="13" t="str">
        <x:v>spot_trade_activity</x:v>
      </x:c>
      <x:c r="E43" s="13" t="str">
        <x:v>spot_range_stress</x:v>
      </x:c>
      <x:c r="F43" s="40" t="n">
        <x:v>3</x:v>
      </x:c>
      <x:c r="G43" s="40" t="n">
        <x:v>3</x:v>
      </x:c>
      <x:c r="H43" s="42" t="n">
        <x:v>0.052926781463514316</x:v>
      </x:c>
      <x:c r="I43" s="17" t="n">
        <x:v>44637</x:v>
      </x:c>
    </x:row>
    <x:row r="44">
      <x:c r="A44" s="13" t="str">
        <x:v>1m_30d_plus_event_day_spot_trade_activity_to_spot_range_stress</x:v>
      </x:c>
      <x:c r="B44" s="13" t="str">
        <x:v>1m</x:v>
      </x:c>
      <x:c r="C44" s="13" t="str">
        <x:v>30d_plus_event_day</x:v>
      </x:c>
      <x:c r="D44" s="13" t="str">
        <x:v>spot_trade_activity</x:v>
      </x:c>
      <x:c r="E44" s="13" t="str">
        <x:v>spot_range_stress</x:v>
      </x:c>
      <x:c r="F44" s="40" t="n">
        <x:v>4</x:v>
      </x:c>
      <x:c r="G44" s="40" t="n">
        <x:v>4</x:v>
      </x:c>
      <x:c r="H44" s="42" t="n">
        <x:v>0.05232447498483966</x:v>
      </x:c>
      <x:c r="I44" s="17" t="n">
        <x:v>44636</x:v>
      </x:c>
    </x:row>
    <x:row r="45">
      <x:c r="A45" s="13" t="str">
        <x:v>1m_30d_plus_event_day_spot_trade_activity_to_spot_range_stress</x:v>
      </x:c>
      <x:c r="B45" s="13" t="str">
        <x:v>1m</x:v>
      </x:c>
      <x:c r="C45" s="13" t="str">
        <x:v>30d_plus_event_day</x:v>
      </x:c>
      <x:c r="D45" s="13" t="str">
        <x:v>spot_trade_activity</x:v>
      </x:c>
      <x:c r="E45" s="13" t="str">
        <x:v>spot_range_stress</x:v>
      </x:c>
      <x:c r="F45" s="40" t="n">
        <x:v>5</x:v>
      </x:c>
      <x:c r="G45" s="40" t="n">
        <x:v>5</x:v>
      </x:c>
      <x:c r="H45" s="42" t="n">
        <x:v>0.052094063177258135</x:v>
      </x:c>
      <x:c r="I45" s="17" t="n">
        <x:v>44635</x:v>
      </x:c>
    </x:row>
    <x:row r="46">
      <x:c r="A46" s="13" t="str">
        <x:v>1m_30d_plus_event_day_usdt_vs_usdc_low_discount_to_spot_range_stress</x:v>
      </x:c>
      <x:c r="B46" s="13" t="str">
        <x:v>1m</x:v>
      </x:c>
      <x:c r="C46" s="13" t="str">
        <x:v>30d_plus_event_day</x:v>
      </x:c>
      <x:c r="D46" s="13" t="str">
        <x:v>usdt_vs_usdc_low_discount</x:v>
      </x:c>
      <x:c r="E46" s="13" t="str">
        <x:v>spot_range_stress</x:v>
      </x:c>
      <x:c r="F46" s="40" t="n">
        <x:v>-5</x:v>
      </x:c>
      <x:c r="G46" s="40" t="n">
        <x:v>-5</x:v>
      </x:c>
      <x:c r="H46" s="42" t="n">
        <x:v>0.009097753470228807</x:v>
      </x:c>
      <x:c r="I46" s="17" t="n">
        <x:v>44635</x:v>
      </x:c>
    </x:row>
    <x:row r="47">
      <x:c r="A47" s="13" t="str">
        <x:v>1m_30d_plus_event_day_usdt_vs_usdc_low_discount_to_spot_range_stress</x:v>
      </x:c>
      <x:c r="B47" s="13" t="str">
        <x:v>1m</x:v>
      </x:c>
      <x:c r="C47" s="13" t="str">
        <x:v>30d_plus_event_day</x:v>
      </x:c>
      <x:c r="D47" s="13" t="str">
        <x:v>usdt_vs_usdc_low_discount</x:v>
      </x:c>
      <x:c r="E47" s="13" t="str">
        <x:v>spot_range_stress</x:v>
      </x:c>
      <x:c r="F47" s="40" t="n">
        <x:v>-4</x:v>
      </x:c>
      <x:c r="G47" s="40" t="n">
        <x:v>-4</x:v>
      </x:c>
      <x:c r="H47" s="42" t="n">
        <x:v>0.022235454595524725</x:v>
      </x:c>
      <x:c r="I47" s="17" t="n">
        <x:v>44636</x:v>
      </x:c>
    </x:row>
    <x:row r="48">
      <x:c r="A48" s="13" t="str">
        <x:v>1m_30d_plus_event_day_usdt_vs_usdc_low_discount_to_spot_range_stress</x:v>
      </x:c>
      <x:c r="B48" s="13" t="str">
        <x:v>1m</x:v>
      </x:c>
      <x:c r="C48" s="13" t="str">
        <x:v>30d_plus_event_day</x:v>
      </x:c>
      <x:c r="D48" s="13" t="str">
        <x:v>usdt_vs_usdc_low_discount</x:v>
      </x:c>
      <x:c r="E48" s="13" t="str">
        <x:v>spot_range_stress</x:v>
      </x:c>
      <x:c r="F48" s="40" t="n">
        <x:v>-3</x:v>
      </x:c>
      <x:c r="G48" s="40" t="n">
        <x:v>-3</x:v>
      </x:c>
      <x:c r="H48" s="42" t="n">
        <x:v>0.04115362284239535</x:v>
      </x:c>
      <x:c r="I48" s="17" t="n">
        <x:v>44637</x:v>
      </x:c>
    </x:row>
    <x:row r="49">
      <x:c r="A49" s="13" t="str">
        <x:v>1m_30d_plus_event_day_usdt_vs_usdc_low_discount_to_spot_range_stress</x:v>
      </x:c>
      <x:c r="B49" s="13" t="str">
        <x:v>1m</x:v>
      </x:c>
      <x:c r="C49" s="13" t="str">
        <x:v>30d_plus_event_day</x:v>
      </x:c>
      <x:c r="D49" s="13" t="str">
        <x:v>usdt_vs_usdc_low_discount</x:v>
      </x:c>
      <x:c r="E49" s="13" t="str">
        <x:v>spot_range_stress</x:v>
      </x:c>
      <x:c r="F49" s="40" t="n">
        <x:v>-2</x:v>
      </x:c>
      <x:c r="G49" s="40" t="n">
        <x:v>-2</x:v>
      </x:c>
      <x:c r="H49" s="42" t="n">
        <x:v>0.03247286579706999</x:v>
      </x:c>
      <x:c r="I49" s="17" t="n">
        <x:v>44638</x:v>
      </x:c>
    </x:row>
    <x:row r="50">
      <x:c r="A50" s="13" t="str">
        <x:v>1m_30d_plus_event_day_usdt_vs_usdc_low_discount_to_spot_range_stress</x:v>
      </x:c>
      <x:c r="B50" s="13" t="str">
        <x:v>1m</x:v>
      </x:c>
      <x:c r="C50" s="13" t="str">
        <x:v>30d_plus_event_day</x:v>
      </x:c>
      <x:c r="D50" s="13" t="str">
        <x:v>usdt_vs_usdc_low_discount</x:v>
      </x:c>
      <x:c r="E50" s="13" t="str">
        <x:v>spot_range_stress</x:v>
      </x:c>
      <x:c r="F50" s="40" t="n">
        <x:v>-1</x:v>
      </x:c>
      <x:c r="G50" s="40" t="n">
        <x:v>-1</x:v>
      </x:c>
      <x:c r="H50" s="42" t="n">
        <x:v>0.11216523911511492</x:v>
      </x:c>
      <x:c r="I50" s="17" t="n">
        <x:v>44639</x:v>
      </x:c>
    </x:row>
    <x:row r="51">
      <x:c r="A51" s="13" t="str">
        <x:v>1m_30d_plus_event_day_usdt_vs_usdc_low_discount_to_spot_range_stress</x:v>
      </x:c>
      <x:c r="B51" s="13" t="str">
        <x:v>1m</x:v>
      </x:c>
      <x:c r="C51" s="13" t="str">
        <x:v>30d_plus_event_day</x:v>
      </x:c>
      <x:c r="D51" s="13" t="str">
        <x:v>usdt_vs_usdc_low_discount</x:v>
      </x:c>
      <x:c r="E51" s="13" t="str">
        <x:v>spot_range_stress</x:v>
      </x:c>
      <x:c r="F51" s="40" t="n">
        <x:v>0</x:v>
      </x:c>
      <x:c r="G51" s="40" t="n">
        <x:v>0</x:v>
      </x:c>
      <x:c r="H51" s="42" t="n">
        <x:v>0.996103590690586</x:v>
      </x:c>
      <x:c r="I51" s="17" t="n">
        <x:v>44640</x:v>
      </x:c>
    </x:row>
    <x:row r="52">
      <x:c r="A52" s="13" t="str">
        <x:v>1m_30d_plus_event_day_usdt_vs_usdc_low_discount_to_spot_range_stress</x:v>
      </x:c>
      <x:c r="B52" s="13" t="str">
        <x:v>1m</x:v>
      </x:c>
      <x:c r="C52" s="13" t="str">
        <x:v>30d_plus_event_day</x:v>
      </x:c>
      <x:c r="D52" s="13" t="str">
        <x:v>usdt_vs_usdc_low_discount</x:v>
      </x:c>
      <x:c r="E52" s="13" t="str">
        <x:v>spot_range_stress</x:v>
      </x:c>
      <x:c r="F52" s="40" t="n">
        <x:v>1</x:v>
      </x:c>
      <x:c r="G52" s="40" t="n">
        <x:v>1</x:v>
      </x:c>
      <x:c r="H52" s="42" t="n">
        <x:v>0.13936356817536952</x:v>
      </x:c>
      <x:c r="I52" s="17" t="n">
        <x:v>44639</x:v>
      </x:c>
    </x:row>
    <x:row r="53">
      <x:c r="A53" s="13" t="str">
        <x:v>1m_30d_plus_event_day_usdt_vs_usdc_low_discount_to_spot_range_stress</x:v>
      </x:c>
      <x:c r="B53" s="13" t="str">
        <x:v>1m</x:v>
      </x:c>
      <x:c r="C53" s="13" t="str">
        <x:v>30d_plus_event_day</x:v>
      </x:c>
      <x:c r="D53" s="13" t="str">
        <x:v>usdt_vs_usdc_low_discount</x:v>
      </x:c>
      <x:c r="E53" s="13" t="str">
        <x:v>spot_range_stress</x:v>
      </x:c>
      <x:c r="F53" s="40" t="n">
        <x:v>2</x:v>
      </x:c>
      <x:c r="G53" s="40" t="n">
        <x:v>2</x:v>
      </x:c>
      <x:c r="H53" s="42" t="n">
        <x:v>0.03168597769715831</x:v>
      </x:c>
      <x:c r="I53" s="17" t="n">
        <x:v>44638</x:v>
      </x:c>
    </x:row>
    <x:row r="54">
      <x:c r="A54" s="13" t="str">
        <x:v>1m_30d_plus_event_day_usdt_vs_usdc_low_discount_to_spot_range_stress</x:v>
      </x:c>
      <x:c r="B54" s="13" t="str">
        <x:v>1m</x:v>
      </x:c>
      <x:c r="C54" s="13" t="str">
        <x:v>30d_plus_event_day</x:v>
      </x:c>
      <x:c r="D54" s="13" t="str">
        <x:v>usdt_vs_usdc_low_discount</x:v>
      </x:c>
      <x:c r="E54" s="13" t="str">
        <x:v>spot_range_stress</x:v>
      </x:c>
      <x:c r="F54" s="40" t="n">
        <x:v>3</x:v>
      </x:c>
      <x:c r="G54" s="40" t="n">
        <x:v>3</x:v>
      </x:c>
      <x:c r="H54" s="42" t="n">
        <x:v>0.041311120364269635</x:v>
      </x:c>
      <x:c r="I54" s="17" t="n">
        <x:v>44637</x:v>
      </x:c>
    </x:row>
    <x:row r="55">
      <x:c r="A55" s="13" t="str">
        <x:v>1m_30d_plus_event_day_usdt_vs_usdc_low_discount_to_spot_range_stress</x:v>
      </x:c>
      <x:c r="B55" s="13" t="str">
        <x:v>1m</x:v>
      </x:c>
      <x:c r="C55" s="13" t="str">
        <x:v>30d_plus_event_day</x:v>
      </x:c>
      <x:c r="D55" s="13" t="str">
        <x:v>usdt_vs_usdc_low_discount</x:v>
      </x:c>
      <x:c r="E55" s="13" t="str">
        <x:v>spot_range_stress</x:v>
      </x:c>
      <x:c r="F55" s="40" t="n">
        <x:v>4</x:v>
      </x:c>
      <x:c r="G55" s="40" t="n">
        <x:v>4</x:v>
      </x:c>
      <x:c r="H55" s="42" t="n">
        <x:v>0.010565177091293721</x:v>
      </x:c>
      <x:c r="I55" s="17" t="n">
        <x:v>44636</x:v>
      </x:c>
    </x:row>
    <x:row r="56">
      <x:c r="A56" s="13" t="str">
        <x:v>1m_30d_plus_event_day_usdt_vs_usdc_low_discount_to_spot_range_stress</x:v>
      </x:c>
      <x:c r="B56" s="13" t="str">
        <x:v>1m</x:v>
      </x:c>
      <x:c r="C56" s="13" t="str">
        <x:v>30d_plus_event_day</x:v>
      </x:c>
      <x:c r="D56" s="13" t="str">
        <x:v>usdt_vs_usdc_low_discount</x:v>
      </x:c>
      <x:c r="E56" s="13" t="str">
        <x:v>spot_range_stress</x:v>
      </x:c>
      <x:c r="F56" s="40" t="n">
        <x:v>5</x:v>
      </x:c>
      <x:c r="G56" s="40" t="n">
        <x:v>5</x:v>
      </x:c>
      <x:c r="H56" s="42" t="n">
        <x:v>0.00876630820664695</x:v>
      </x:c>
      <x:c r="I56" s="17" t="n">
        <x:v>44635</x:v>
      </x:c>
    </x:row>
    <x:row r="57">
      <x:c r="A57" s="13" t="str">
        <x:v>1m_event_local_4h_spot_usdt_return_to_spot_usdc_return</x:v>
      </x:c>
      <x:c r="B57" s="13" t="str">
        <x:v>1m</x:v>
      </x:c>
      <x:c r="C57" s="13" t="str">
        <x:v>event_local_4h</x:v>
      </x:c>
      <x:c r="D57" s="13" t="str">
        <x:v>spot_usdt_return</x:v>
      </x:c>
      <x:c r="E57" s="13" t="str">
        <x:v>spot_usdc_return</x:v>
      </x:c>
      <x:c r="F57" s="40" t="n">
        <x:v>-5</x:v>
      </x:c>
      <x:c r="G57" s="40" t="n">
        <x:v>-5</x:v>
      </x:c>
      <x:c r="H57" s="42" t="n">
        <x:v>-0.038605392118845915</x:v>
      </x:c>
      <x:c r="I57" s="17" t="n">
        <x:v>235</x:v>
      </x:c>
    </x:row>
    <x:row r="58">
      <x:c r="A58" s="13" t="str">
        <x:v>1m_event_local_4h_spot_usdt_return_to_spot_usdc_return</x:v>
      </x:c>
      <x:c r="B58" s="13" t="str">
        <x:v>1m</x:v>
      </x:c>
      <x:c r="C58" s="13" t="str">
        <x:v>event_local_4h</x:v>
      </x:c>
      <x:c r="D58" s="13" t="str">
        <x:v>spot_usdt_return</x:v>
      </x:c>
      <x:c r="E58" s="13" t="str">
        <x:v>spot_usdc_return</x:v>
      </x:c>
      <x:c r="F58" s="40" t="n">
        <x:v>-4</x:v>
      </x:c>
      <x:c r="G58" s="40" t="n">
        <x:v>-4</x:v>
      </x:c>
      <x:c r="H58" s="42" t="n">
        <x:v>0.0976655597876492</x:v>
      </x:c>
      <x:c r="I58" s="17" t="n">
        <x:v>236</x:v>
      </x:c>
    </x:row>
    <x:row r="59">
      <x:c r="A59" s="13" t="str">
        <x:v>1m_event_local_4h_spot_usdt_return_to_spot_usdc_return</x:v>
      </x:c>
      <x:c r="B59" s="13" t="str">
        <x:v>1m</x:v>
      </x:c>
      <x:c r="C59" s="13" t="str">
        <x:v>event_local_4h</x:v>
      </x:c>
      <x:c r="D59" s="13" t="str">
        <x:v>spot_usdt_return</x:v>
      </x:c>
      <x:c r="E59" s="13" t="str">
        <x:v>spot_usdc_return</x:v>
      </x:c>
      <x:c r="F59" s="40" t="n">
        <x:v>-3</x:v>
      </x:c>
      <x:c r="G59" s="40" t="n">
        <x:v>-3</x:v>
      </x:c>
      <x:c r="H59" s="42" t="n">
        <x:v>0.25850153644726254</x:v>
      </x:c>
      <x:c r="I59" s="17" t="n">
        <x:v>237</x:v>
      </x:c>
    </x:row>
    <x:row r="60">
      <x:c r="A60" s="13" t="str">
        <x:v>1m_event_local_4h_spot_usdt_return_to_spot_usdc_return</x:v>
      </x:c>
      <x:c r="B60" s="13" t="str">
        <x:v>1m</x:v>
      </x:c>
      <x:c r="C60" s="13" t="str">
        <x:v>event_local_4h</x:v>
      </x:c>
      <x:c r="D60" s="13" t="str">
        <x:v>spot_usdt_return</x:v>
      </x:c>
      <x:c r="E60" s="13" t="str">
        <x:v>spot_usdc_return</x:v>
      </x:c>
      <x:c r="F60" s="40" t="n">
        <x:v>-2</x:v>
      </x:c>
      <x:c r="G60" s="40" t="n">
        <x:v>-2</x:v>
      </x:c>
      <x:c r="H60" s="42" t="n">
        <x:v>0.26474054830793947</x:v>
      </x:c>
      <x:c r="I60" s="17" t="n">
        <x:v>238</x:v>
      </x:c>
    </x:row>
    <x:row r="61">
      <x:c r="A61" s="13" t="str">
        <x:v>1m_event_local_4h_spot_usdt_return_to_spot_usdc_return</x:v>
      </x:c>
      <x:c r="B61" s="13" t="str">
        <x:v>1m</x:v>
      </x:c>
      <x:c r="C61" s="13" t="str">
        <x:v>event_local_4h</x:v>
      </x:c>
      <x:c r="D61" s="13" t="str">
        <x:v>spot_usdt_return</x:v>
      </x:c>
      <x:c r="E61" s="13" t="str">
        <x:v>spot_usdc_return</x:v>
      </x:c>
      <x:c r="F61" s="40" t="n">
        <x:v>-1</x:v>
      </x:c>
      <x:c r="G61" s="40" t="n">
        <x:v>-1</x:v>
      </x:c>
      <x:c r="H61" s="42" t="n">
        <x:v>0.34292943595944575</x:v>
      </x:c>
      <x:c r="I61" s="17" t="n">
        <x:v>239</x:v>
      </x:c>
    </x:row>
    <x:row r="62">
      <x:c r="A62" s="13" t="str">
        <x:v>1m_event_local_4h_spot_usdt_return_to_spot_usdc_return</x:v>
      </x:c>
      <x:c r="B62" s="13" t="str">
        <x:v>1m</x:v>
      </x:c>
      <x:c r="C62" s="13" t="str">
        <x:v>event_local_4h</x:v>
      </x:c>
      <x:c r="D62" s="13" t="str">
        <x:v>spot_usdt_return</x:v>
      </x:c>
      <x:c r="E62" s="13" t="str">
        <x:v>spot_usdc_return</x:v>
      </x:c>
      <x:c r="F62" s="40" t="n">
        <x:v>0</x:v>
      </x:c>
      <x:c r="G62" s="40" t="n">
        <x:v>0</x:v>
      </x:c>
      <x:c r="H62" s="42" t="n">
        <x:v>0.8810072913486027</x:v>
      </x:c>
      <x:c r="I62" s="17" t="n">
        <x:v>240</x:v>
      </x:c>
    </x:row>
    <x:row r="63">
      <x:c r="A63" s="13" t="str">
        <x:v>1m_event_local_4h_spot_usdt_return_to_spot_usdc_return</x:v>
      </x:c>
      <x:c r="B63" s="13" t="str">
        <x:v>1m</x:v>
      </x:c>
      <x:c r="C63" s="13" t="str">
        <x:v>event_local_4h</x:v>
      </x:c>
      <x:c r="D63" s="13" t="str">
        <x:v>spot_usdt_return</x:v>
      </x:c>
      <x:c r="E63" s="13" t="str">
        <x:v>spot_usdc_return</x:v>
      </x:c>
      <x:c r="F63" s="40" t="n">
        <x:v>1</x:v>
      </x:c>
      <x:c r="G63" s="40" t="n">
        <x:v>1</x:v>
      </x:c>
      <x:c r="H63" s="42" t="n">
        <x:v>0.2666678849825653</x:v>
      </x:c>
      <x:c r="I63" s="17" t="n">
        <x:v>239</x:v>
      </x:c>
    </x:row>
    <x:row r="64">
      <x:c r="A64" s="13" t="str">
        <x:v>1m_event_local_4h_spot_usdt_return_to_spot_usdc_return</x:v>
      </x:c>
      <x:c r="B64" s="13" t="str">
        <x:v>1m</x:v>
      </x:c>
      <x:c r="C64" s="13" t="str">
        <x:v>event_local_4h</x:v>
      </x:c>
      <x:c r="D64" s="13" t="str">
        <x:v>spot_usdt_return</x:v>
      </x:c>
      <x:c r="E64" s="13" t="str">
        <x:v>spot_usdc_return</x:v>
      </x:c>
      <x:c r="F64" s="40" t="n">
        <x:v>2</x:v>
      </x:c>
      <x:c r="G64" s="40" t="n">
        <x:v>2</x:v>
      </x:c>
      <x:c r="H64" s="42" t="n">
        <x:v>0.3780376156106387</x:v>
      </x:c>
      <x:c r="I64" s="17" t="n">
        <x:v>238</x:v>
      </x:c>
    </x:row>
    <x:row r="65">
      <x:c r="A65" s="13" t="str">
        <x:v>1m_event_local_4h_spot_usdt_return_to_spot_usdc_return</x:v>
      </x:c>
      <x:c r="B65" s="13" t="str">
        <x:v>1m</x:v>
      </x:c>
      <x:c r="C65" s="13" t="str">
        <x:v>event_local_4h</x:v>
      </x:c>
      <x:c r="D65" s="13" t="str">
        <x:v>spot_usdt_return</x:v>
      </x:c>
      <x:c r="E65" s="13" t="str">
        <x:v>spot_usdc_return</x:v>
      </x:c>
      <x:c r="F65" s="40" t="n">
        <x:v>3</x:v>
      </x:c>
      <x:c r="G65" s="40" t="n">
        <x:v>3</x:v>
      </x:c>
      <x:c r="H65" s="42" t="n">
        <x:v>0.2880201951116597</x:v>
      </x:c>
      <x:c r="I65" s="17" t="n">
        <x:v>237</x:v>
      </x:c>
    </x:row>
    <x:row r="66">
      <x:c r="A66" s="13" t="str">
        <x:v>1m_event_local_4h_spot_usdt_return_to_spot_usdc_return</x:v>
      </x:c>
      <x:c r="B66" s="13" t="str">
        <x:v>1m</x:v>
      </x:c>
      <x:c r="C66" s="13" t="str">
        <x:v>event_local_4h</x:v>
      </x:c>
      <x:c r="D66" s="13" t="str">
        <x:v>spot_usdt_return</x:v>
      </x:c>
      <x:c r="E66" s="13" t="str">
        <x:v>spot_usdc_return</x:v>
      </x:c>
      <x:c r="F66" s="40" t="n">
        <x:v>4</x:v>
      </x:c>
      <x:c r="G66" s="40" t="n">
        <x:v>4</x:v>
      </x:c>
      <x:c r="H66" s="42" t="n">
        <x:v>0.16170318926493</x:v>
      </x:c>
      <x:c r="I66" s="17" t="n">
        <x:v>236</x:v>
      </x:c>
    </x:row>
    <x:row r="67">
      <x:c r="A67" s="13" t="str">
        <x:v>1m_event_local_4h_spot_usdt_return_to_spot_usdc_return</x:v>
      </x:c>
      <x:c r="B67" s="13" t="str">
        <x:v>1m</x:v>
      </x:c>
      <x:c r="C67" s="13" t="str">
        <x:v>event_local_4h</x:v>
      </x:c>
      <x:c r="D67" s="13" t="str">
        <x:v>spot_usdt_return</x:v>
      </x:c>
      <x:c r="E67" s="13" t="str">
        <x:v>spot_usdc_return</x:v>
      </x:c>
      <x:c r="F67" s="40" t="n">
        <x:v>5</x:v>
      </x:c>
      <x:c r="G67" s="40" t="n">
        <x:v>5</x:v>
      </x:c>
      <x:c r="H67" s="42" t="n">
        <x:v>-0.16009981460932268</x:v>
      </x:c>
      <x:c r="I67" s="17" t="n">
        <x:v>235</x:v>
      </x:c>
    </x:row>
    <x:row r="68">
      <x:c r="A68" s="13" t="str">
        <x:v>1m_event_local_4h_futures_return_to_spot_usdt_return</x:v>
      </x:c>
      <x:c r="B68" s="13" t="str">
        <x:v>1m</x:v>
      </x:c>
      <x:c r="C68" s="13" t="str">
        <x:v>event_local_4h</x:v>
      </x:c>
      <x:c r="D68" s="13" t="str">
        <x:v>futures_return</x:v>
      </x:c>
      <x:c r="E68" s="13" t="str">
        <x:v>spot_usdt_return</x:v>
      </x:c>
      <x:c r="F68" s="40" t="n">
        <x:v>-5</x:v>
      </x:c>
      <x:c r="G68" s="40" t="n">
        <x:v>-5</x:v>
      </x:c>
      <x:c r="H68" s="42" t="n">
        <x:v>-0.06119157206493826</x:v>
      </x:c>
      <x:c r="I68" s="17" t="n">
        <x:v>235</x:v>
      </x:c>
    </x:row>
    <x:row r="69">
      <x:c r="A69" s="13" t="str">
        <x:v>1m_event_local_4h_futures_return_to_spot_usdt_return</x:v>
      </x:c>
      <x:c r="B69" s="13" t="str">
        <x:v>1m</x:v>
      </x:c>
      <x:c r="C69" s="13" t="str">
        <x:v>event_local_4h</x:v>
      </x:c>
      <x:c r="D69" s="13" t="str">
        <x:v>futures_return</x:v>
      </x:c>
      <x:c r="E69" s="13" t="str">
        <x:v>spot_usdt_return</x:v>
      </x:c>
      <x:c r="F69" s="40" t="n">
        <x:v>-4</x:v>
      </x:c>
      <x:c r="G69" s="40" t="n">
        <x:v>-4</x:v>
      </x:c>
      <x:c r="H69" s="42" t="n">
        <x:v>0.01022484120988322</x:v>
      </x:c>
      <x:c r="I69" s="17" t="n">
        <x:v>236</x:v>
      </x:c>
    </x:row>
    <x:row r="70">
      <x:c r="A70" s="13" t="str">
        <x:v>1m_event_local_4h_futures_return_to_spot_usdt_return</x:v>
      </x:c>
      <x:c r="B70" s="13" t="str">
        <x:v>1m</x:v>
      </x:c>
      <x:c r="C70" s="13" t="str">
        <x:v>event_local_4h</x:v>
      </x:c>
      <x:c r="D70" s="13" t="str">
        <x:v>futures_return</x:v>
      </x:c>
      <x:c r="E70" s="13" t="str">
        <x:v>spot_usdt_return</x:v>
      </x:c>
      <x:c r="F70" s="40" t="n">
        <x:v>-3</x:v>
      </x:c>
      <x:c r="G70" s="40" t="n">
        <x:v>-3</x:v>
      </x:c>
      <x:c r="H70" s="42" t="n">
        <x:v>0.19295914580074283</x:v>
      </x:c>
      <x:c r="I70" s="17" t="n">
        <x:v>237</x:v>
      </x:c>
    </x:row>
    <x:row r="71">
      <x:c r="A71" s="13" t="str">
        <x:v>1m_event_local_4h_futures_return_to_spot_usdt_return</x:v>
      </x:c>
      <x:c r="B71" s="13" t="str">
        <x:v>1m</x:v>
      </x:c>
      <x:c r="C71" s="13" t="str">
        <x:v>event_local_4h</x:v>
      </x:c>
      <x:c r="D71" s="13" t="str">
        <x:v>futures_return</x:v>
      </x:c>
      <x:c r="E71" s="13" t="str">
        <x:v>spot_usdt_return</x:v>
      </x:c>
      <x:c r="F71" s="40" t="n">
        <x:v>-2</x:v>
      </x:c>
      <x:c r="G71" s="40" t="n">
        <x:v>-2</x:v>
      </x:c>
      <x:c r="H71" s="42" t="n">
        <x:v>0.47234769979151253</x:v>
      </x:c>
      <x:c r="I71" s="17" t="n">
        <x:v>238</x:v>
      </x:c>
    </x:row>
    <x:row r="72">
      <x:c r="A72" s="13" t="str">
        <x:v>1m_event_local_4h_futures_return_to_spot_usdt_return</x:v>
      </x:c>
      <x:c r="B72" s="13" t="str">
        <x:v>1m</x:v>
      </x:c>
      <x:c r="C72" s="13" t="str">
        <x:v>event_local_4h</x:v>
      </x:c>
      <x:c r="D72" s="13" t="str">
        <x:v>futures_return</x:v>
      </x:c>
      <x:c r="E72" s="13" t="str">
        <x:v>spot_usdt_return</x:v>
      </x:c>
      <x:c r="F72" s="40" t="n">
        <x:v>-1</x:v>
      </x:c>
      <x:c r="G72" s="40" t="n">
        <x:v>-1</x:v>
      </x:c>
      <x:c r="H72" s="42" t="n">
        <x:v>0.4144261461786058</x:v>
      </x:c>
      <x:c r="I72" s="17" t="n">
        <x:v>239</x:v>
      </x:c>
    </x:row>
    <x:row r="73">
      <x:c r="A73" s="13" t="str">
        <x:v>1m_event_local_4h_futures_return_to_spot_usdt_return</x:v>
      </x:c>
      <x:c r="B73" s="13" t="str">
        <x:v>1m</x:v>
      </x:c>
      <x:c r="C73" s="13" t="str">
        <x:v>event_local_4h</x:v>
      </x:c>
      <x:c r="D73" s="13" t="str">
        <x:v>futures_return</x:v>
      </x:c>
      <x:c r="E73" s="13" t="str">
        <x:v>spot_usdt_return</x:v>
      </x:c>
      <x:c r="F73" s="40" t="n">
        <x:v>0</x:v>
      </x:c>
      <x:c r="G73" s="40" t="n">
        <x:v>0</x:v>
      </x:c>
      <x:c r="H73" s="42" t="n">
        <x:v>0.6987044869021353</x:v>
      </x:c>
      <x:c r="I73" s="17" t="n">
        <x:v>240</x:v>
      </x:c>
    </x:row>
    <x:row r="74">
      <x:c r="A74" s="13" t="str">
        <x:v>1m_event_local_4h_futures_return_to_spot_usdt_return</x:v>
      </x:c>
      <x:c r="B74" s="13" t="str">
        <x:v>1m</x:v>
      </x:c>
      <x:c r="C74" s="13" t="str">
        <x:v>event_local_4h</x:v>
      </x:c>
      <x:c r="D74" s="13" t="str">
        <x:v>futures_return</x:v>
      </x:c>
      <x:c r="E74" s="13" t="str">
        <x:v>spot_usdt_return</x:v>
      </x:c>
      <x:c r="F74" s="40" t="n">
        <x:v>1</x:v>
      </x:c>
      <x:c r="G74" s="40" t="n">
        <x:v>1</x:v>
      </x:c>
      <x:c r="H74" s="42" t="n">
        <x:v>0.5312938175557341</x:v>
      </x:c>
      <x:c r="I74" s="17" t="n">
        <x:v>239</x:v>
      </x:c>
    </x:row>
    <x:row r="75">
      <x:c r="A75" s="13" t="str">
        <x:v>1m_event_local_4h_futures_return_to_spot_usdt_return</x:v>
      </x:c>
      <x:c r="B75" s="13" t="str">
        <x:v>1m</x:v>
      </x:c>
      <x:c r="C75" s="13" t="str">
        <x:v>event_local_4h</x:v>
      </x:c>
      <x:c r="D75" s="13" t="str">
        <x:v>futures_return</x:v>
      </x:c>
      <x:c r="E75" s="13" t="str">
        <x:v>spot_usdt_return</x:v>
      </x:c>
      <x:c r="F75" s="40" t="n">
        <x:v>2</x:v>
      </x:c>
      <x:c r="G75" s="40" t="n">
        <x:v>2</x:v>
      </x:c>
      <x:c r="H75" s="42" t="n">
        <x:v>0.2620526054648957</x:v>
      </x:c>
      <x:c r="I75" s="17" t="n">
        <x:v>238</x:v>
      </x:c>
    </x:row>
    <x:row r="76">
      <x:c r="A76" s="13" t="str">
        <x:v>1m_event_local_4h_futures_return_to_spot_usdt_return</x:v>
      </x:c>
      <x:c r="B76" s="13" t="str">
        <x:v>1m</x:v>
      </x:c>
      <x:c r="C76" s="13" t="str">
        <x:v>event_local_4h</x:v>
      </x:c>
      <x:c r="D76" s="13" t="str">
        <x:v>futures_return</x:v>
      </x:c>
      <x:c r="E76" s="13" t="str">
        <x:v>spot_usdt_return</x:v>
      </x:c>
      <x:c r="F76" s="40" t="n">
        <x:v>3</x:v>
      </x:c>
      <x:c r="G76" s="40" t="n">
        <x:v>3</x:v>
      </x:c>
      <x:c r="H76" s="42" t="n">
        <x:v>0.28508294399091033</x:v>
      </x:c>
      <x:c r="I76" s="17" t="n">
        <x:v>237</x:v>
      </x:c>
    </x:row>
    <x:row r="77">
      <x:c r="A77" s="13" t="str">
        <x:v>1m_event_local_4h_futures_return_to_spot_usdt_return</x:v>
      </x:c>
      <x:c r="B77" s="13" t="str">
        <x:v>1m</x:v>
      </x:c>
      <x:c r="C77" s="13" t="str">
        <x:v>event_local_4h</x:v>
      </x:c>
      <x:c r="D77" s="13" t="str">
        <x:v>futures_return</x:v>
      </x:c>
      <x:c r="E77" s="13" t="str">
        <x:v>spot_usdt_return</x:v>
      </x:c>
      <x:c r="F77" s="40" t="n">
        <x:v>4</x:v>
      </x:c>
      <x:c r="G77" s="40" t="n">
        <x:v>4</x:v>
      </x:c>
      <x:c r="H77" s="42" t="n">
        <x:v>0.13050090754381746</x:v>
      </x:c>
      <x:c r="I77" s="17" t="n">
        <x:v>236</x:v>
      </x:c>
    </x:row>
    <x:row r="78">
      <x:c r="A78" s="13" t="str">
        <x:v>1m_event_local_4h_futures_return_to_spot_usdt_return</x:v>
      </x:c>
      <x:c r="B78" s="13" t="str">
        <x:v>1m</x:v>
      </x:c>
      <x:c r="C78" s="13" t="str">
        <x:v>event_local_4h</x:v>
      </x:c>
      <x:c r="D78" s="13" t="str">
        <x:v>futures_return</x:v>
      </x:c>
      <x:c r="E78" s="13" t="str">
        <x:v>spot_usdt_return</x:v>
      </x:c>
      <x:c r="F78" s="40" t="n">
        <x:v>5</x:v>
      </x:c>
      <x:c r="G78" s="40" t="n">
        <x:v>5</x:v>
      </x:c>
      <x:c r="H78" s="42" t="n">
        <x:v>0.07020087471721208</x:v>
      </x:c>
      <x:c r="I78" s="17" t="n">
        <x:v>235</x:v>
      </x:c>
    </x:row>
    <x:row r="79">
      <x:c r="A79" s="13" t="str">
        <x:v>1m_event_local_4h_spot_usdt_return_to_mark_return</x:v>
      </x:c>
      <x:c r="B79" s="13" t="str">
        <x:v>1m</x:v>
      </x:c>
      <x:c r="C79" s="13" t="str">
        <x:v>event_local_4h</x:v>
      </x:c>
      <x:c r="D79" s="13" t="str">
        <x:v>spot_usdt_return</x:v>
      </x:c>
      <x:c r="E79" s="13" t="str">
        <x:v>mark_return</x:v>
      </x:c>
      <x:c r="F79" s="40" t="n">
        <x:v>-5</x:v>
      </x:c>
      <x:c r="G79" s="40" t="n">
        <x:v>-5</x:v>
      </x:c>
      <x:c r="H79" s="42" t="n">
        <x:v>0.03290499132486796</x:v>
      </x:c>
      <x:c r="I79" s="17" t="n">
        <x:v>235</x:v>
      </x:c>
    </x:row>
    <x:row r="80">
      <x:c r="A80" s="13" t="str">
        <x:v>1m_event_local_4h_spot_usdt_return_to_mark_return</x:v>
      </x:c>
      <x:c r="B80" s="13" t="str">
        <x:v>1m</x:v>
      </x:c>
      <x:c r="C80" s="13" t="str">
        <x:v>event_local_4h</x:v>
      </x:c>
      <x:c r="D80" s="13" t="str">
        <x:v>spot_usdt_return</x:v>
      </x:c>
      <x:c r="E80" s="13" t="str">
        <x:v>mark_return</x:v>
      </x:c>
      <x:c r="F80" s="40" t="n">
        <x:v>-4</x:v>
      </x:c>
      <x:c r="G80" s="40" t="n">
        <x:v>-4</x:v>
      </x:c>
      <x:c r="H80" s="42" t="n">
        <x:v>0.1580711573591314</x:v>
      </x:c>
      <x:c r="I80" s="17" t="n">
        <x:v>236</x:v>
      </x:c>
    </x:row>
    <x:row r="81">
      <x:c r="A81" s="13" t="str">
        <x:v>1m_event_local_4h_spot_usdt_return_to_mark_return</x:v>
      </x:c>
      <x:c r="B81" s="13" t="str">
        <x:v>1m</x:v>
      </x:c>
      <x:c r="C81" s="13" t="str">
        <x:v>event_local_4h</x:v>
      </x:c>
      <x:c r="D81" s="13" t="str">
        <x:v>spot_usdt_return</x:v>
      </x:c>
      <x:c r="E81" s="13" t="str">
        <x:v>mark_return</x:v>
      </x:c>
      <x:c r="F81" s="40" t="n">
        <x:v>-3</x:v>
      </x:c>
      <x:c r="G81" s="40" t="n">
        <x:v>-3</x:v>
      </x:c>
      <x:c r="H81" s="42" t="n">
        <x:v>0.26932431988859135</x:v>
      </x:c>
      <x:c r="I81" s="17" t="n">
        <x:v>237</x:v>
      </x:c>
    </x:row>
    <x:row r="82">
      <x:c r="A82" s="13" t="str">
        <x:v>1m_event_local_4h_spot_usdt_return_to_mark_return</x:v>
      </x:c>
      <x:c r="B82" s="13" t="str">
        <x:v>1m</x:v>
      </x:c>
      <x:c r="C82" s="13" t="str">
        <x:v>event_local_4h</x:v>
      </x:c>
      <x:c r="D82" s="13" t="str">
        <x:v>spot_usdt_return</x:v>
      </x:c>
      <x:c r="E82" s="13" t="str">
        <x:v>mark_return</x:v>
      </x:c>
      <x:c r="F82" s="40" t="n">
        <x:v>-2</x:v>
      </x:c>
      <x:c r="G82" s="40" t="n">
        <x:v>-2</x:v>
      </x:c>
      <x:c r="H82" s="42" t="n">
        <x:v>0.24099829582105423</x:v>
      </x:c>
      <x:c r="I82" s="17" t="n">
        <x:v>238</x:v>
      </x:c>
    </x:row>
    <x:row r="83">
      <x:c r="A83" s="13" t="str">
        <x:v>1m_event_local_4h_spot_usdt_return_to_mark_return</x:v>
      </x:c>
      <x:c r="B83" s="13" t="str">
        <x:v>1m</x:v>
      </x:c>
      <x:c r="C83" s="13" t="str">
        <x:v>event_local_4h</x:v>
      </x:c>
      <x:c r="D83" s="13" t="str">
        <x:v>spot_usdt_return</x:v>
      </x:c>
      <x:c r="E83" s="13" t="str">
        <x:v>mark_return</x:v>
      </x:c>
      <x:c r="F83" s="40" t="n">
        <x:v>-1</x:v>
      </x:c>
      <x:c r="G83" s="40" t="n">
        <x:v>-1</x:v>
      </x:c>
      <x:c r="H83" s="42" t="n">
        <x:v>0.49883092961419984</x:v>
      </x:c>
      <x:c r="I83" s="17" t="n">
        <x:v>239</x:v>
      </x:c>
    </x:row>
    <x:row r="84">
      <x:c r="A84" s="13" t="str">
        <x:v>1m_event_local_4h_spot_usdt_return_to_mark_return</x:v>
      </x:c>
      <x:c r="B84" s="13" t="str">
        <x:v>1m</x:v>
      </x:c>
      <x:c r="C84" s="13" t="str">
        <x:v>event_local_4h</x:v>
      </x:c>
      <x:c r="D84" s="13" t="str">
        <x:v>spot_usdt_return</x:v>
      </x:c>
      <x:c r="E84" s="13" t="str">
        <x:v>mark_return</x:v>
      </x:c>
      <x:c r="F84" s="40" t="n">
        <x:v>0</x:v>
      </x:c>
      <x:c r="G84" s="40" t="n">
        <x:v>0</x:v>
      </x:c>
      <x:c r="H84" s="42" t="n">
        <x:v>0.7744237177539715</x:v>
      </x:c>
      <x:c r="I84" s="17" t="n">
        <x:v>240</x:v>
      </x:c>
    </x:row>
    <x:row r="85">
      <x:c r="A85" s="13" t="str">
        <x:v>1m_event_local_4h_spot_usdt_return_to_mark_return</x:v>
      </x:c>
      <x:c r="B85" s="13" t="str">
        <x:v>1m</x:v>
      </x:c>
      <x:c r="C85" s="13" t="str">
        <x:v>event_local_4h</x:v>
      </x:c>
      <x:c r="D85" s="13" t="str">
        <x:v>spot_usdt_return</x:v>
      </x:c>
      <x:c r="E85" s="13" t="str">
        <x:v>mark_return</x:v>
      </x:c>
      <x:c r="F85" s="40" t="n">
        <x:v>1</x:v>
      </x:c>
      <x:c r="G85" s="40" t="n">
        <x:v>1</x:v>
      </x:c>
      <x:c r="H85" s="42" t="n">
        <x:v>0.3580289265056264</x:v>
      </x:c>
      <x:c r="I85" s="17" t="n">
        <x:v>239</x:v>
      </x:c>
    </x:row>
    <x:row r="86">
      <x:c r="A86" s="13" t="str">
        <x:v>1m_event_local_4h_spot_usdt_return_to_mark_return</x:v>
      </x:c>
      <x:c r="B86" s="13" t="str">
        <x:v>1m</x:v>
      </x:c>
      <x:c r="C86" s="13" t="str">
        <x:v>event_local_4h</x:v>
      </x:c>
      <x:c r="D86" s="13" t="str">
        <x:v>spot_usdt_return</x:v>
      </x:c>
      <x:c r="E86" s="13" t="str">
        <x:v>mark_return</x:v>
      </x:c>
      <x:c r="F86" s="40" t="n">
        <x:v>2</x:v>
      </x:c>
      <x:c r="G86" s="40" t="n">
        <x:v>2</x:v>
      </x:c>
      <x:c r="H86" s="42" t="n">
        <x:v>0.47169965484403076</x:v>
      </x:c>
      <x:c r="I86" s="17" t="n">
        <x:v>238</x:v>
      </x:c>
    </x:row>
    <x:row r="87">
      <x:c r="A87" s="13" t="str">
        <x:v>1m_event_local_4h_spot_usdt_return_to_mark_return</x:v>
      </x:c>
      <x:c r="B87" s="13" t="str">
        <x:v>1m</x:v>
      </x:c>
      <x:c r="C87" s="13" t="str">
        <x:v>event_local_4h</x:v>
      </x:c>
      <x:c r="D87" s="13" t="str">
        <x:v>spot_usdt_return</x:v>
      </x:c>
      <x:c r="E87" s="13" t="str">
        <x:v>mark_return</x:v>
      </x:c>
      <x:c r="F87" s="40" t="n">
        <x:v>3</x:v>
      </x:c>
      <x:c r="G87" s="40" t="n">
        <x:v>3</x:v>
      </x:c>
      <x:c r="H87" s="42" t="n">
        <x:v>0.24912433199626913</x:v>
      </x:c>
      <x:c r="I87" s="17" t="n">
        <x:v>237</x:v>
      </x:c>
    </x:row>
    <x:row r="88">
      <x:c r="A88" s="13" t="str">
        <x:v>1m_event_local_4h_spot_usdt_return_to_mark_return</x:v>
      </x:c>
      <x:c r="B88" s="13" t="str">
        <x:v>1m</x:v>
      </x:c>
      <x:c r="C88" s="13" t="str">
        <x:v>event_local_4h</x:v>
      </x:c>
      <x:c r="D88" s="13" t="str">
        <x:v>spot_usdt_return</x:v>
      </x:c>
      <x:c r="E88" s="13" t="str">
        <x:v>mark_return</x:v>
      </x:c>
      <x:c r="F88" s="40" t="n">
        <x:v>4</x:v>
      </x:c>
      <x:c r="G88" s="40" t="n">
        <x:v>4</x:v>
      </x:c>
      <x:c r="H88" s="42" t="n">
        <x:v>0.01350802289398844</x:v>
      </x:c>
      <x:c r="I88" s="17" t="n">
        <x:v>236</x:v>
      </x:c>
    </x:row>
    <x:row r="89">
      <x:c r="A89" s="13" t="str">
        <x:v>1m_event_local_4h_spot_usdt_return_to_mark_return</x:v>
      </x:c>
      <x:c r="B89" s="13" t="str">
        <x:v>1m</x:v>
      </x:c>
      <x:c r="C89" s="13" t="str">
        <x:v>event_local_4h</x:v>
      </x:c>
      <x:c r="D89" s="13" t="str">
        <x:v>spot_usdt_return</x:v>
      </x:c>
      <x:c r="E89" s="13" t="str">
        <x:v>mark_return</x:v>
      </x:c>
      <x:c r="F89" s="40" t="n">
        <x:v>5</x:v>
      </x:c>
      <x:c r="G89" s="40" t="n">
        <x:v>5</x:v>
      </x:c>
      <x:c r="H89" s="42" t="n">
        <x:v>-0.11443423899550018</x:v>
      </x:c>
      <x:c r="I89" s="17" t="n">
        <x:v>235</x:v>
      </x:c>
    </x:row>
    <x:row r="90">
      <x:c r="A90" s="13" t="str">
        <x:v>1m_event_local_4h_spot_trade_activity_to_spot_range_stress</x:v>
      </x:c>
      <x:c r="B90" s="13" t="str">
        <x:v>1m</x:v>
      </x:c>
      <x:c r="C90" s="13" t="str">
        <x:v>event_local_4h</x:v>
      </x:c>
      <x:c r="D90" s="13" t="str">
        <x:v>spot_trade_activity</x:v>
      </x:c>
      <x:c r="E90" s="13" t="str">
        <x:v>spot_range_stress</x:v>
      </x:c>
      <x:c r="F90" s="40" t="n">
        <x:v>-5</x:v>
      </x:c>
      <x:c r="G90" s="40" t="n">
        <x:v>-5</x:v>
      </x:c>
      <x:c r="H90" s="42" t="n">
        <x:v>0.07407577560486144</x:v>
      </x:c>
      <x:c r="I90" s="17" t="n">
        <x:v>235</x:v>
      </x:c>
    </x:row>
    <x:row r="91">
      <x:c r="A91" s="13" t="str">
        <x:v>1m_event_local_4h_spot_trade_activity_to_spot_range_stress</x:v>
      </x:c>
      <x:c r="B91" s="13" t="str">
        <x:v>1m</x:v>
      </x:c>
      <x:c r="C91" s="13" t="str">
        <x:v>event_local_4h</x:v>
      </x:c>
      <x:c r="D91" s="13" t="str">
        <x:v>spot_trade_activity</x:v>
      </x:c>
      <x:c r="E91" s="13" t="str">
        <x:v>spot_range_stress</x:v>
      </x:c>
      <x:c r="F91" s="40" t="n">
        <x:v>-4</x:v>
      </x:c>
      <x:c r="G91" s="40" t="n">
        <x:v>-4</x:v>
      </x:c>
      <x:c r="H91" s="42" t="n">
        <x:v>0.06727222260257217</x:v>
      </x:c>
      <x:c r="I91" s="17" t="n">
        <x:v>236</x:v>
      </x:c>
    </x:row>
    <x:row r="92">
      <x:c r="A92" s="13" t="str">
        <x:v>1m_event_local_4h_spot_trade_activity_to_spot_range_stress</x:v>
      </x:c>
      <x:c r="B92" s="13" t="str">
        <x:v>1m</x:v>
      </x:c>
      <x:c r="C92" s="13" t="str">
        <x:v>event_local_4h</x:v>
      </x:c>
      <x:c r="D92" s="13" t="str">
        <x:v>spot_trade_activity</x:v>
      </x:c>
      <x:c r="E92" s="13" t="str">
        <x:v>spot_range_stress</x:v>
      </x:c>
      <x:c r="F92" s="40" t="n">
        <x:v>-3</x:v>
      </x:c>
      <x:c r="G92" s="40" t="n">
        <x:v>-3</x:v>
      </x:c>
      <x:c r="H92" s="42" t="n">
        <x:v>0.0771776792226623</x:v>
      </x:c>
      <x:c r="I92" s="17" t="n">
        <x:v>237</x:v>
      </x:c>
    </x:row>
    <x:row r="93">
      <x:c r="A93" s="13" t="str">
        <x:v>1m_event_local_4h_spot_trade_activity_to_spot_range_stress</x:v>
      </x:c>
      <x:c r="B93" s="13" t="str">
        <x:v>1m</x:v>
      </x:c>
      <x:c r="C93" s="13" t="str">
        <x:v>event_local_4h</x:v>
      </x:c>
      <x:c r="D93" s="13" t="str">
        <x:v>spot_trade_activity</x:v>
      </x:c>
      <x:c r="E93" s="13" t="str">
        <x:v>spot_range_stress</x:v>
      </x:c>
      <x:c r="F93" s="40" t="n">
        <x:v>-2</x:v>
      </x:c>
      <x:c r="G93" s="40" t="n">
        <x:v>-2</x:v>
      </x:c>
      <x:c r="H93" s="42" t="n">
        <x:v>0.07623436939185893</x:v>
      </x:c>
      <x:c r="I93" s="17" t="n">
        <x:v>238</x:v>
      </x:c>
    </x:row>
    <x:row r="94">
      <x:c r="A94" s="13" t="str">
        <x:v>1m_event_local_4h_spot_trade_activity_to_spot_range_stress</x:v>
      </x:c>
      <x:c r="B94" s="13" t="str">
        <x:v>1m</x:v>
      </x:c>
      <x:c r="C94" s="13" t="str">
        <x:v>event_local_4h</x:v>
      </x:c>
      <x:c r="D94" s="13" t="str">
        <x:v>spot_trade_activity</x:v>
      </x:c>
      <x:c r="E94" s="13" t="str">
        <x:v>spot_range_stress</x:v>
      </x:c>
      <x:c r="F94" s="40" t="n">
        <x:v>-1</x:v>
      </x:c>
      <x:c r="G94" s="40" t="n">
        <x:v>-1</x:v>
      </x:c>
      <x:c r="H94" s="42" t="n">
        <x:v>0.06839250783805</x:v>
      </x:c>
      <x:c r="I94" s="17" t="n">
        <x:v>239</x:v>
      </x:c>
    </x:row>
    <x:row r="95">
      <x:c r="A95" s="13" t="str">
        <x:v>1m_event_local_4h_spot_trade_activity_to_spot_range_stress</x:v>
      </x:c>
      <x:c r="B95" s="13" t="str">
        <x:v>1m</x:v>
      </x:c>
      <x:c r="C95" s="13" t="str">
        <x:v>event_local_4h</x:v>
      </x:c>
      <x:c r="D95" s="13" t="str">
        <x:v>spot_trade_activity</x:v>
      </x:c>
      <x:c r="E95" s="13" t="str">
        <x:v>spot_range_stress</x:v>
      </x:c>
      <x:c r="F95" s="40" t="n">
        <x:v>0</x:v>
      </x:c>
      <x:c r="G95" s="40" t="n">
        <x:v>0</x:v>
      </x:c>
      <x:c r="H95" s="42" t="n">
        <x:v>0.07406322227499461</x:v>
      </x:c>
      <x:c r="I95" s="17" t="n">
        <x:v>240</x:v>
      </x:c>
    </x:row>
    <x:row r="96">
      <x:c r="A96" s="13" t="str">
        <x:v>1m_event_local_4h_spot_trade_activity_to_spot_range_stress</x:v>
      </x:c>
      <x:c r="B96" s="13" t="str">
        <x:v>1m</x:v>
      </x:c>
      <x:c r="C96" s="13" t="str">
        <x:v>event_local_4h</x:v>
      </x:c>
      <x:c r="D96" s="13" t="str">
        <x:v>spot_trade_activity</x:v>
      </x:c>
      <x:c r="E96" s="13" t="str">
        <x:v>spot_range_stress</x:v>
      </x:c>
      <x:c r="F96" s="40" t="n">
        <x:v>1</x:v>
      </x:c>
      <x:c r="G96" s="40" t="n">
        <x:v>1</x:v>
      </x:c>
      <x:c r="H96" s="42" t="n">
        <x:v>0.06604656959757478</x:v>
      </x:c>
      <x:c r="I96" s="17" t="n">
        <x:v>239</x:v>
      </x:c>
    </x:row>
    <x:row r="97">
      <x:c r="A97" s="13" t="str">
        <x:v>1m_event_local_4h_spot_trade_activity_to_spot_range_stress</x:v>
      </x:c>
      <x:c r="B97" s="13" t="str">
        <x:v>1m</x:v>
      </x:c>
      <x:c r="C97" s="13" t="str">
        <x:v>event_local_4h</x:v>
      </x:c>
      <x:c r="D97" s="13" t="str">
        <x:v>spot_trade_activity</x:v>
      </x:c>
      <x:c r="E97" s="13" t="str">
        <x:v>spot_range_stress</x:v>
      </x:c>
      <x:c r="F97" s="40" t="n">
        <x:v>2</x:v>
      </x:c>
      <x:c r="G97" s="40" t="n">
        <x:v>2</x:v>
      </x:c>
      <x:c r="H97" s="42" t="n">
        <x:v>0.07696047827849099</x:v>
      </x:c>
      <x:c r="I97" s="17" t="n">
        <x:v>238</x:v>
      </x:c>
    </x:row>
    <x:row r="98">
      <x:c r="A98" s="13" t="str">
        <x:v>1m_event_local_4h_spot_trade_activity_to_spot_range_stress</x:v>
      </x:c>
      <x:c r="B98" s="13" t="str">
        <x:v>1m</x:v>
      </x:c>
      <x:c r="C98" s="13" t="str">
        <x:v>event_local_4h</x:v>
      </x:c>
      <x:c r="D98" s="13" t="str">
        <x:v>spot_trade_activity</x:v>
      </x:c>
      <x:c r="E98" s="13" t="str">
        <x:v>spot_range_stress</x:v>
      </x:c>
      <x:c r="F98" s="40" t="n">
        <x:v>3</x:v>
      </x:c>
      <x:c r="G98" s="40" t="n">
        <x:v>3</x:v>
      </x:c>
      <x:c r="H98" s="42" t="n">
        <x:v>0.1005060599925082</x:v>
      </x:c>
      <x:c r="I98" s="17" t="n">
        <x:v>237</x:v>
      </x:c>
    </x:row>
    <x:row r="99">
      <x:c r="A99" s="13" t="str">
        <x:v>1m_event_local_4h_spot_trade_activity_to_spot_range_stress</x:v>
      </x:c>
      <x:c r="B99" s="13" t="str">
        <x:v>1m</x:v>
      </x:c>
      <x:c r="C99" s="13" t="str">
        <x:v>event_local_4h</x:v>
      </x:c>
      <x:c r="D99" s="13" t="str">
        <x:v>spot_trade_activity</x:v>
      </x:c>
      <x:c r="E99" s="13" t="str">
        <x:v>spot_range_stress</x:v>
      </x:c>
      <x:c r="F99" s="40" t="n">
        <x:v>4</x:v>
      </x:c>
      <x:c r="G99" s="40" t="n">
        <x:v>4</x:v>
      </x:c>
      <x:c r="H99" s="42" t="n">
        <x:v>0.11237125864257544</x:v>
      </x:c>
      <x:c r="I99" s="17" t="n">
        <x:v>236</x:v>
      </x:c>
    </x:row>
    <x:row r="100">
      <x:c r="A100" s="13" t="str">
        <x:v>1m_event_local_4h_spot_trade_activity_to_spot_range_stress</x:v>
      </x:c>
      <x:c r="B100" s="13" t="str">
        <x:v>1m</x:v>
      </x:c>
      <x:c r="C100" s="13" t="str">
        <x:v>event_local_4h</x:v>
      </x:c>
      <x:c r="D100" s="13" t="str">
        <x:v>spot_trade_activity</x:v>
      </x:c>
      <x:c r="E100" s="13" t="str">
        <x:v>spot_range_stress</x:v>
      </x:c>
      <x:c r="F100" s="40" t="n">
        <x:v>5</x:v>
      </x:c>
      <x:c r="G100" s="40" t="n">
        <x:v>5</x:v>
      </x:c>
      <x:c r="H100" s="42" t="n">
        <x:v>0.11593484380895275</x:v>
      </x:c>
      <x:c r="I100" s="17" t="n">
        <x:v>235</x:v>
      </x:c>
    </x:row>
    <x:row r="101">
      <x:c r="A101" s="13" t="str">
        <x:v>1m_event_local_4h_usdt_vs_usdc_low_discount_to_spot_range_stress</x:v>
      </x:c>
      <x:c r="B101" s="13" t="str">
        <x:v>1m</x:v>
      </x:c>
      <x:c r="C101" s="13" t="str">
        <x:v>event_local_4h</x:v>
      </x:c>
      <x:c r="D101" s="13" t="str">
        <x:v>usdt_vs_usdc_low_discount</x:v>
      </x:c>
      <x:c r="E101" s="13" t="str">
        <x:v>spot_range_stress</x:v>
      </x:c>
      <x:c r="F101" s="40" t="n">
        <x:v>-5</x:v>
      </x:c>
      <x:c r="G101" s="40" t="n">
        <x:v>-5</x:v>
      </x:c>
      <x:c r="H101" s="42" t="n">
        <x:v>0.00023484823613591782</x:v>
      </x:c>
      <x:c r="I101" s="17" t="n">
        <x:v>235</x:v>
      </x:c>
    </x:row>
    <x:row r="102">
      <x:c r="A102" s="13" t="str">
        <x:v>1m_event_local_4h_usdt_vs_usdc_low_discount_to_spot_range_stress</x:v>
      </x:c>
      <x:c r="B102" s="13" t="str">
        <x:v>1m</x:v>
      </x:c>
      <x:c r="C102" s="13" t="str">
        <x:v>event_local_4h</x:v>
      </x:c>
      <x:c r="D102" s="13" t="str">
        <x:v>usdt_vs_usdc_low_discount</x:v>
      </x:c>
      <x:c r="E102" s="13" t="str">
        <x:v>spot_range_stress</x:v>
      </x:c>
      <x:c r="F102" s="40" t="n">
        <x:v>-4</x:v>
      </x:c>
      <x:c r="G102" s="40" t="n">
        <x:v>-4</x:v>
      </x:c>
      <x:c r="H102" s="42" t="n">
        <x:v>0.0135309138282839</x:v>
      </x:c>
      <x:c r="I102" s="17" t="n">
        <x:v>236</x:v>
      </x:c>
    </x:row>
    <x:row r="103">
      <x:c r="A103" s="13" t="str">
        <x:v>1m_event_local_4h_usdt_vs_usdc_low_discount_to_spot_range_stress</x:v>
      </x:c>
      <x:c r="B103" s="13" t="str">
        <x:v>1m</x:v>
      </x:c>
      <x:c r="C103" s="13" t="str">
        <x:v>event_local_4h</x:v>
      </x:c>
      <x:c r="D103" s="13" t="str">
        <x:v>usdt_vs_usdc_low_discount</x:v>
      </x:c>
      <x:c r="E103" s="13" t="str">
        <x:v>spot_range_stress</x:v>
      </x:c>
      <x:c r="F103" s="40" t="n">
        <x:v>-3</x:v>
      </x:c>
      <x:c r="G103" s="40" t="n">
        <x:v>-3</x:v>
      </x:c>
      <x:c r="H103" s="42" t="n">
        <x:v>0.03261482411184098</x:v>
      </x:c>
      <x:c r="I103" s="17" t="n">
        <x:v>237</x:v>
      </x:c>
    </x:row>
    <x:row r="104">
      <x:c r="A104" s="13" t="str">
        <x:v>1m_event_local_4h_usdt_vs_usdc_low_discount_to_spot_range_stress</x:v>
      </x:c>
      <x:c r="B104" s="13" t="str">
        <x:v>1m</x:v>
      </x:c>
      <x:c r="C104" s="13" t="str">
        <x:v>event_local_4h</x:v>
      </x:c>
      <x:c r="D104" s="13" t="str">
        <x:v>usdt_vs_usdc_low_discount</x:v>
      </x:c>
      <x:c r="E104" s="13" t="str">
        <x:v>spot_range_stress</x:v>
      </x:c>
      <x:c r="F104" s="40" t="n">
        <x:v>-2</x:v>
      </x:c>
      <x:c r="G104" s="40" t="n">
        <x:v>-2</x:v>
      </x:c>
      <x:c r="H104" s="42" t="n">
        <x:v>0.023886217392391454</x:v>
      </x:c>
      <x:c r="I104" s="17" t="n">
        <x:v>238</x:v>
      </x:c>
    </x:row>
    <x:row r="105">
      <x:c r="A105" s="13" t="str">
        <x:v>1m_event_local_4h_usdt_vs_usdc_low_discount_to_spot_range_stress</x:v>
      </x:c>
      <x:c r="B105" s="13" t="str">
        <x:v>1m</x:v>
      </x:c>
      <x:c r="C105" s="13" t="str">
        <x:v>event_local_4h</x:v>
      </x:c>
      <x:c r="D105" s="13" t="str">
        <x:v>usdt_vs_usdc_low_discount</x:v>
      </x:c>
      <x:c r="E105" s="13" t="str">
        <x:v>spot_range_stress</x:v>
      </x:c>
      <x:c r="F105" s="40" t="n">
        <x:v>-1</x:v>
      </x:c>
      <x:c r="G105" s="40" t="n">
        <x:v>-1</x:v>
      </x:c>
      <x:c r="H105" s="42" t="n">
        <x:v>0.10440511383766951</x:v>
      </x:c>
      <x:c r="I105" s="17" t="n">
        <x:v>239</x:v>
      </x:c>
    </x:row>
    <x:row r="106">
      <x:c r="A106" s="13" t="str">
        <x:v>1m_event_local_4h_usdt_vs_usdc_low_discount_to_spot_range_stress</x:v>
      </x:c>
      <x:c r="B106" s="13" t="str">
        <x:v>1m</x:v>
      </x:c>
      <x:c r="C106" s="13" t="str">
        <x:v>event_local_4h</x:v>
      </x:c>
      <x:c r="D106" s="13" t="str">
        <x:v>usdt_vs_usdc_low_discount</x:v>
      </x:c>
      <x:c r="E106" s="13" t="str">
        <x:v>spot_range_stress</x:v>
      </x:c>
      <x:c r="F106" s="40" t="n">
        <x:v>0</x:v>
      </x:c>
      <x:c r="G106" s="40" t="n">
        <x:v>0</x:v>
      </x:c>
      <x:c r="H106" s="42" t="n">
        <x:v>0.9971584606820793</x:v>
      </x:c>
      <x:c r="I106" s="17" t="n">
        <x:v>240</x:v>
      </x:c>
    </x:row>
    <x:row r="107">
      <x:c r="A107" s="13" t="str">
        <x:v>1m_event_local_4h_usdt_vs_usdc_low_discount_to_spot_range_stress</x:v>
      </x:c>
      <x:c r="B107" s="13" t="str">
        <x:v>1m</x:v>
      </x:c>
      <x:c r="C107" s="13" t="str">
        <x:v>event_local_4h</x:v>
      </x:c>
      <x:c r="D107" s="13" t="str">
        <x:v>usdt_vs_usdc_low_discount</x:v>
      </x:c>
      <x:c r="E107" s="13" t="str">
        <x:v>spot_range_stress</x:v>
      </x:c>
      <x:c r="F107" s="40" t="n">
        <x:v>1</x:v>
      </x:c>
      <x:c r="G107" s="40" t="n">
        <x:v>1</x:v>
      </x:c>
      <x:c r="H107" s="42" t="n">
        <x:v>0.13188988945569433</x:v>
      </x:c>
      <x:c r="I107" s="17" t="n">
        <x:v>239</x:v>
      </x:c>
    </x:row>
    <x:row r="108">
      <x:c r="A108" s="13" t="str">
        <x:v>1m_event_local_4h_usdt_vs_usdc_low_discount_to_spot_range_stress</x:v>
      </x:c>
      <x:c r="B108" s="13" t="str">
        <x:v>1m</x:v>
      </x:c>
      <x:c r="C108" s="13" t="str">
        <x:v>event_local_4h</x:v>
      </x:c>
      <x:c r="D108" s="13" t="str">
        <x:v>usdt_vs_usdc_low_discount</x:v>
      </x:c>
      <x:c r="E108" s="13" t="str">
        <x:v>spot_range_stress</x:v>
      </x:c>
      <x:c r="F108" s="40" t="n">
        <x:v>2</x:v>
      </x:c>
      <x:c r="G108" s="40" t="n">
        <x:v>2</x:v>
      </x:c>
      <x:c r="H108" s="42" t="n">
        <x:v>0.023126245447594063</x:v>
      </x:c>
      <x:c r="I108" s="17" t="n">
        <x:v>238</x:v>
      </x:c>
    </x:row>
    <x:row r="109">
      <x:c r="A109" s="13" t="str">
        <x:v>1m_event_local_4h_usdt_vs_usdc_low_discount_to_spot_range_stress</x:v>
      </x:c>
      <x:c r="B109" s="13" t="str">
        <x:v>1m</x:v>
      </x:c>
      <x:c r="C109" s="13" t="str">
        <x:v>event_local_4h</x:v>
      </x:c>
      <x:c r="D109" s="13" t="str">
        <x:v>usdt_vs_usdc_low_discount</x:v>
      </x:c>
      <x:c r="E109" s="13" t="str">
        <x:v>spot_range_stress</x:v>
      </x:c>
      <x:c r="F109" s="40" t="n">
        <x:v>3</x:v>
      </x:c>
      <x:c r="G109" s="40" t="n">
        <x:v>3</x:v>
      </x:c>
      <x:c r="H109" s="42" t="n">
        <x:v>0.032758962455210844</x:v>
      </x:c>
      <x:c r="I109" s="17" t="n">
        <x:v>237</x:v>
      </x:c>
    </x:row>
    <x:row r="110">
      <x:c r="A110" s="13" t="str">
        <x:v>1m_event_local_4h_usdt_vs_usdc_low_discount_to_spot_range_stress</x:v>
      </x:c>
      <x:c r="B110" s="13" t="str">
        <x:v>1m</x:v>
      </x:c>
      <x:c r="C110" s="13" t="str">
        <x:v>event_local_4h</x:v>
      </x:c>
      <x:c r="D110" s="13" t="str">
        <x:v>usdt_vs_usdc_low_discount</x:v>
      </x:c>
      <x:c r="E110" s="13" t="str">
        <x:v>spot_range_stress</x:v>
      </x:c>
      <x:c r="F110" s="40" t="n">
        <x:v>4</x:v>
      </x:c>
      <x:c r="G110" s="40" t="n">
        <x:v>4</x:v>
      </x:c>
      <x:c r="H110" s="42" t="n">
        <x:v>0.0016946689870231352</x:v>
      </x:c>
      <x:c r="I110" s="17" t="n">
        <x:v>236</x:v>
      </x:c>
    </x:row>
    <x:row r="111">
      <x:c r="A111" s="13" t="str">
        <x:v>1m_event_local_4h_usdt_vs_usdc_low_discount_to_spot_range_stress</x:v>
      </x:c>
      <x:c r="B111" s="13" t="str">
        <x:v>1m</x:v>
      </x:c>
      <x:c r="C111" s="13" t="str">
        <x:v>event_local_4h</x:v>
      </x:c>
      <x:c r="D111" s="13" t="str">
        <x:v>usdt_vs_usdc_low_discount</x:v>
      </x:c>
      <x:c r="E111" s="13" t="str">
        <x:v>spot_range_stress</x:v>
      </x:c>
      <x:c r="F111" s="40" t="n">
        <x:v>5</x:v>
      </x:c>
      <x:c r="G111" s="40" t="n">
        <x:v>5</x:v>
      </x:c>
      <x:c r="H111" s="42" t="n">
        <x:v>-0.0001598507339862756</x:v>
      </x:c>
      <x:c r="I111" s="17" t="n">
        <x:v>235</x:v>
      </x:c>
    </x:row>
    <x:row r="112">
      <x:c r="A112" s="13" t="str">
        <x:v>5m_30d_plus_event_day_confirmed_exchange_in_atom_to_spot_range_stress</x:v>
      </x:c>
      <x:c r="B112" s="13" t="str">
        <x:v>5m</x:v>
      </x:c>
      <x:c r="C112" s="13" t="str">
        <x:v>30d_plus_event_day</x:v>
      </x:c>
      <x:c r="D112" s="13" t="str">
        <x:v>confirmed_exchange_in_atom</x:v>
      </x:c>
      <x:c r="E112" s="13" t="str">
        <x:v>spot_range_stress</x:v>
      </x:c>
      <x:c r="F112" s="40" t="n">
        <x:v>-12</x:v>
      </x:c>
      <x:c r="G112" s="40" t="n">
        <x:v>-60</x:v>
      </x:c>
      <x:c r="H112" s="42" t="n">
        <x:v>0.027352189855455556</x:v>
      </x:c>
      <x:c r="I112" s="17" t="n">
        <x:v>8916</x:v>
      </x:c>
    </x:row>
    <x:row r="113">
      <x:c r="A113" s="13" t="str">
        <x:v>5m_30d_plus_event_day_confirmed_exchange_in_atom_to_spot_range_stress</x:v>
      </x:c>
      <x:c r="B113" s="13" t="str">
        <x:v>5m</x:v>
      </x:c>
      <x:c r="C113" s="13" t="str">
        <x:v>30d_plus_event_day</x:v>
      </x:c>
      <x:c r="D113" s="13" t="str">
        <x:v>confirmed_exchange_in_atom</x:v>
      </x:c>
      <x:c r="E113" s="13" t="str">
        <x:v>spot_range_stress</x:v>
      </x:c>
      <x:c r="F113" s="40" t="n">
        <x:v>-11</x:v>
      </x:c>
      <x:c r="G113" s="40" t="n">
        <x:v>-55</x:v>
      </x:c>
      <x:c r="H113" s="42" t="n">
        <x:v>0.01469692163070888</x:v>
      </x:c>
      <x:c r="I113" s="17" t="n">
        <x:v>8917</x:v>
      </x:c>
    </x:row>
    <x:row r="114">
      <x:c r="A114" s="13" t="str">
        <x:v>5m_30d_plus_event_day_confirmed_exchange_in_atom_to_spot_range_stress</x:v>
      </x:c>
      <x:c r="B114" s="13" t="str">
        <x:v>5m</x:v>
      </x:c>
      <x:c r="C114" s="13" t="str">
        <x:v>30d_plus_event_day</x:v>
      </x:c>
      <x:c r="D114" s="13" t="str">
        <x:v>confirmed_exchange_in_atom</x:v>
      </x:c>
      <x:c r="E114" s="13" t="str">
        <x:v>spot_range_stress</x:v>
      </x:c>
      <x:c r="F114" s="40" t="n">
        <x:v>-10</x:v>
      </x:c>
      <x:c r="G114" s="40" t="n">
        <x:v>-50</x:v>
      </x:c>
      <x:c r="H114" s="42" t="n">
        <x:v>0.016348094628408538</x:v>
      </x:c>
      <x:c r="I114" s="17" t="n">
        <x:v>8918</x:v>
      </x:c>
    </x:row>
    <x:row r="115">
      <x:c r="A115" s="13" t="str">
        <x:v>5m_30d_plus_event_day_confirmed_exchange_in_atom_to_spot_range_stress</x:v>
      </x:c>
      <x:c r="B115" s="13" t="str">
        <x:v>5m</x:v>
      </x:c>
      <x:c r="C115" s="13" t="str">
        <x:v>30d_plus_event_day</x:v>
      </x:c>
      <x:c r="D115" s="13" t="str">
        <x:v>confirmed_exchange_in_atom</x:v>
      </x:c>
      <x:c r="E115" s="13" t="str">
        <x:v>spot_range_stress</x:v>
      </x:c>
      <x:c r="F115" s="40" t="n">
        <x:v>-9</x:v>
      </x:c>
      <x:c r="G115" s="40" t="n">
        <x:v>-45</x:v>
      </x:c>
      <x:c r="H115" s="42" t="n">
        <x:v>0.01648616640846286</x:v>
      </x:c>
      <x:c r="I115" s="17" t="n">
        <x:v>8919</x:v>
      </x:c>
    </x:row>
    <x:row r="116">
      <x:c r="A116" s="13" t="str">
        <x:v>5m_30d_plus_event_day_confirmed_exchange_in_atom_to_spot_range_stress</x:v>
      </x:c>
      <x:c r="B116" s="13" t="str">
        <x:v>5m</x:v>
      </x:c>
      <x:c r="C116" s="13" t="str">
        <x:v>30d_plus_event_day</x:v>
      </x:c>
      <x:c r="D116" s="13" t="str">
        <x:v>confirmed_exchange_in_atom</x:v>
      </x:c>
      <x:c r="E116" s="13" t="str">
        <x:v>spot_range_stress</x:v>
      </x:c>
      <x:c r="F116" s="40" t="n">
        <x:v>-8</x:v>
      </x:c>
      <x:c r="G116" s="40" t="n">
        <x:v>-40</x:v>
      </x:c>
      <x:c r="H116" s="42" t="n">
        <x:v>0.010399113530963289</x:v>
      </x:c>
      <x:c r="I116" s="17" t="n">
        <x:v>8920</x:v>
      </x:c>
    </x:row>
    <x:row r="117">
      <x:c r="A117" s="13" t="str">
        <x:v>5m_30d_plus_event_day_confirmed_exchange_in_atom_to_spot_range_stress</x:v>
      </x:c>
      <x:c r="B117" s="13" t="str">
        <x:v>5m</x:v>
      </x:c>
      <x:c r="C117" s="13" t="str">
        <x:v>30d_plus_event_day</x:v>
      </x:c>
      <x:c r="D117" s="13" t="str">
        <x:v>confirmed_exchange_in_atom</x:v>
      </x:c>
      <x:c r="E117" s="13" t="str">
        <x:v>spot_range_stress</x:v>
      </x:c>
      <x:c r="F117" s="40" t="n">
        <x:v>-7</x:v>
      </x:c>
      <x:c r="G117" s="40" t="n">
        <x:v>-35</x:v>
      </x:c>
      <x:c r="H117" s="42" t="n">
        <x:v>0.022436290597623698</x:v>
      </x:c>
      <x:c r="I117" s="17" t="n">
        <x:v>8921</x:v>
      </x:c>
    </x:row>
    <x:row r="118">
      <x:c r="A118" s="13" t="str">
        <x:v>5m_30d_plus_event_day_confirmed_exchange_in_atom_to_spot_range_stress</x:v>
      </x:c>
      <x:c r="B118" s="13" t="str">
        <x:v>5m</x:v>
      </x:c>
      <x:c r="C118" s="13" t="str">
        <x:v>30d_plus_event_day</x:v>
      </x:c>
      <x:c r="D118" s="13" t="str">
        <x:v>confirmed_exchange_in_atom</x:v>
      </x:c>
      <x:c r="E118" s="13" t="str">
        <x:v>spot_range_stress</x:v>
      </x:c>
      <x:c r="F118" s="40" t="n">
        <x:v>-6</x:v>
      </x:c>
      <x:c r="G118" s="40" t="n">
        <x:v>-30</x:v>
      </x:c>
      <x:c r="H118" s="42" t="n">
        <x:v>0.019959289261113837</x:v>
      </x:c>
      <x:c r="I118" s="17" t="n">
        <x:v>8922</x:v>
      </x:c>
    </x:row>
    <x:row r="119">
      <x:c r="A119" s="13" t="str">
        <x:v>5m_30d_plus_event_day_confirmed_exchange_in_atom_to_spot_range_stress</x:v>
      </x:c>
      <x:c r="B119" s="13" t="str">
        <x:v>5m</x:v>
      </x:c>
      <x:c r="C119" s="13" t="str">
        <x:v>30d_plus_event_day</x:v>
      </x:c>
      <x:c r="D119" s="13" t="str">
        <x:v>confirmed_exchange_in_atom</x:v>
      </x:c>
      <x:c r="E119" s="13" t="str">
        <x:v>spot_range_stress</x:v>
      </x:c>
      <x:c r="F119" s="40" t="n">
        <x:v>-5</x:v>
      </x:c>
      <x:c r="G119" s="40" t="n">
        <x:v>-25</x:v>
      </x:c>
      <x:c r="H119" s="42" t="n">
        <x:v>0.019980085830794327</x:v>
      </x:c>
      <x:c r="I119" s="17" t="n">
        <x:v>8923</x:v>
      </x:c>
    </x:row>
    <x:row r="120">
      <x:c r="A120" s="13" t="str">
        <x:v>5m_30d_plus_event_day_confirmed_exchange_in_atom_to_spot_range_stress</x:v>
      </x:c>
      <x:c r="B120" s="13" t="str">
        <x:v>5m</x:v>
      </x:c>
      <x:c r="C120" s="13" t="str">
        <x:v>30d_plus_event_day</x:v>
      </x:c>
      <x:c r="D120" s="13" t="str">
        <x:v>confirmed_exchange_in_atom</x:v>
      </x:c>
      <x:c r="E120" s="13" t="str">
        <x:v>spot_range_stress</x:v>
      </x:c>
      <x:c r="F120" s="40" t="n">
        <x:v>-4</x:v>
      </x:c>
      <x:c r="G120" s="40" t="n">
        <x:v>-20</x:v>
      </x:c>
      <x:c r="H120" s="42" t="n">
        <x:v>0.018818052684773753</x:v>
      </x:c>
      <x:c r="I120" s="17" t="n">
        <x:v>8924</x:v>
      </x:c>
    </x:row>
    <x:row r="121">
      <x:c r="A121" s="13" t="str">
        <x:v>5m_30d_plus_event_day_confirmed_exchange_in_atom_to_spot_range_stress</x:v>
      </x:c>
      <x:c r="B121" s="13" t="str">
        <x:v>5m</x:v>
      </x:c>
      <x:c r="C121" s="13" t="str">
        <x:v>30d_plus_event_day</x:v>
      </x:c>
      <x:c r="D121" s="13" t="str">
        <x:v>confirmed_exchange_in_atom</x:v>
      </x:c>
      <x:c r="E121" s="13" t="str">
        <x:v>spot_range_stress</x:v>
      </x:c>
      <x:c r="F121" s="40" t="n">
        <x:v>-3</x:v>
      </x:c>
      <x:c r="G121" s="40" t="n">
        <x:v>-15</x:v>
      </x:c>
      <x:c r="H121" s="42" t="n">
        <x:v>0.012854872243395708</x:v>
      </x:c>
      <x:c r="I121" s="17" t="n">
        <x:v>8925</x:v>
      </x:c>
    </x:row>
    <x:row r="122">
      <x:c r="A122" s="13" t="str">
        <x:v>5m_30d_plus_event_day_confirmed_exchange_in_atom_to_spot_range_stress</x:v>
      </x:c>
      <x:c r="B122" s="13" t="str">
        <x:v>5m</x:v>
      </x:c>
      <x:c r="C122" s="13" t="str">
        <x:v>30d_plus_event_day</x:v>
      </x:c>
      <x:c r="D122" s="13" t="str">
        <x:v>confirmed_exchange_in_atom</x:v>
      </x:c>
      <x:c r="E122" s="13" t="str">
        <x:v>spot_range_stress</x:v>
      </x:c>
      <x:c r="F122" s="40" t="n">
        <x:v>-2</x:v>
      </x:c>
      <x:c r="G122" s="40" t="n">
        <x:v>-10</x:v>
      </x:c>
      <x:c r="H122" s="42" t="n">
        <x:v>0.017100211457068484</x:v>
      </x:c>
      <x:c r="I122" s="17" t="n">
        <x:v>8926</x:v>
      </x:c>
    </x:row>
    <x:row r="123">
      <x:c r="A123" s="13" t="str">
        <x:v>5m_30d_plus_event_day_confirmed_exchange_in_atom_to_spot_range_stress</x:v>
      </x:c>
      <x:c r="B123" s="13" t="str">
        <x:v>5m</x:v>
      </x:c>
      <x:c r="C123" s="13" t="str">
        <x:v>30d_plus_event_day</x:v>
      </x:c>
      <x:c r="D123" s="13" t="str">
        <x:v>confirmed_exchange_in_atom</x:v>
      </x:c>
      <x:c r="E123" s="13" t="str">
        <x:v>spot_range_stress</x:v>
      </x:c>
      <x:c r="F123" s="40" t="n">
        <x:v>-1</x:v>
      </x:c>
      <x:c r="G123" s="40" t="n">
        <x:v>-5</x:v>
      </x:c>
      <x:c r="H123" s="42" t="n">
        <x:v>0.017381470367828458</x:v>
      </x:c>
      <x:c r="I123" s="17" t="n">
        <x:v>8927</x:v>
      </x:c>
    </x:row>
    <x:row r="124">
      <x:c r="A124" s="13" t="str">
        <x:v>5m_30d_plus_event_day_confirmed_exchange_in_atom_to_spot_range_stress</x:v>
      </x:c>
      <x:c r="B124" s="13" t="str">
        <x:v>5m</x:v>
      </x:c>
      <x:c r="C124" s="13" t="str">
        <x:v>30d_plus_event_day</x:v>
      </x:c>
      <x:c r="D124" s="13" t="str">
        <x:v>confirmed_exchange_in_atom</x:v>
      </x:c>
      <x:c r="E124" s="13" t="str">
        <x:v>spot_range_stress</x:v>
      </x:c>
      <x:c r="F124" s="40" t="n">
        <x:v>0</x:v>
      </x:c>
      <x:c r="G124" s="40" t="n">
        <x:v>0</x:v>
      </x:c>
      <x:c r="H124" s="42" t="n">
        <x:v>0.015228144456182499</x:v>
      </x:c>
      <x:c r="I124" s="17" t="n">
        <x:v>8928</x:v>
      </x:c>
    </x:row>
    <x:row r="125">
      <x:c r="A125" s="13" t="str">
        <x:v>5m_30d_plus_event_day_confirmed_exchange_in_atom_to_spot_range_stress</x:v>
      </x:c>
      <x:c r="B125" s="13" t="str">
        <x:v>5m</x:v>
      </x:c>
      <x:c r="C125" s="13" t="str">
        <x:v>30d_plus_event_day</x:v>
      </x:c>
      <x:c r="D125" s="13" t="str">
        <x:v>confirmed_exchange_in_atom</x:v>
      </x:c>
      <x:c r="E125" s="13" t="str">
        <x:v>spot_range_stress</x:v>
      </x:c>
      <x:c r="F125" s="40" t="n">
        <x:v>1</x:v>
      </x:c>
      <x:c r="G125" s="40" t="n">
        <x:v>5</x:v>
      </x:c>
      <x:c r="H125" s="42" t="n">
        <x:v>0.013184261112388521</x:v>
      </x:c>
      <x:c r="I125" s="17" t="n">
        <x:v>8927</x:v>
      </x:c>
    </x:row>
    <x:row r="126">
      <x:c r="A126" s="13" t="str">
        <x:v>5m_30d_plus_event_day_confirmed_exchange_in_atom_to_spot_range_stress</x:v>
      </x:c>
      <x:c r="B126" s="13" t="str">
        <x:v>5m</x:v>
      </x:c>
      <x:c r="C126" s="13" t="str">
        <x:v>30d_plus_event_day</x:v>
      </x:c>
      <x:c r="D126" s="13" t="str">
        <x:v>confirmed_exchange_in_atom</x:v>
      </x:c>
      <x:c r="E126" s="13" t="str">
        <x:v>spot_range_stress</x:v>
      </x:c>
      <x:c r="F126" s="40" t="n">
        <x:v>2</x:v>
      </x:c>
      <x:c r="G126" s="40" t="n">
        <x:v>10</x:v>
      </x:c>
      <x:c r="H126" s="42" t="n">
        <x:v>0.009917788266296601</x:v>
      </x:c>
      <x:c r="I126" s="17" t="n">
        <x:v>8926</x:v>
      </x:c>
    </x:row>
    <x:row r="127">
      <x:c r="A127" s="13" t="str">
        <x:v>5m_30d_plus_event_day_confirmed_exchange_in_atom_to_spot_range_stress</x:v>
      </x:c>
      <x:c r="B127" s="13" t="str">
        <x:v>5m</x:v>
      </x:c>
      <x:c r="C127" s="13" t="str">
        <x:v>30d_plus_event_day</x:v>
      </x:c>
      <x:c r="D127" s="13" t="str">
        <x:v>confirmed_exchange_in_atom</x:v>
      </x:c>
      <x:c r="E127" s="13" t="str">
        <x:v>spot_range_stress</x:v>
      </x:c>
      <x:c r="F127" s="40" t="n">
        <x:v>3</x:v>
      </x:c>
      <x:c r="G127" s="40" t="n">
        <x:v>15</x:v>
      </x:c>
      <x:c r="H127" s="42" t="n">
        <x:v>0.013553522829840922</x:v>
      </x:c>
      <x:c r="I127" s="17" t="n">
        <x:v>8925</x:v>
      </x:c>
    </x:row>
    <x:row r="128">
      <x:c r="A128" s="13" t="str">
        <x:v>5m_30d_plus_event_day_confirmed_exchange_in_atom_to_spot_range_stress</x:v>
      </x:c>
      <x:c r="B128" s="13" t="str">
        <x:v>5m</x:v>
      </x:c>
      <x:c r="C128" s="13" t="str">
        <x:v>30d_plus_event_day</x:v>
      </x:c>
      <x:c r="D128" s="13" t="str">
        <x:v>confirmed_exchange_in_atom</x:v>
      </x:c>
      <x:c r="E128" s="13" t="str">
        <x:v>spot_range_stress</x:v>
      </x:c>
      <x:c r="F128" s="40" t="n">
        <x:v>4</x:v>
      </x:c>
      <x:c r="G128" s="40" t="n">
        <x:v>20</x:v>
      </x:c>
      <x:c r="H128" s="42" t="n">
        <x:v>0.012905320753747125</x:v>
      </x:c>
      <x:c r="I128" s="17" t="n">
        <x:v>8924</x:v>
      </x:c>
    </x:row>
    <x:row r="129">
      <x:c r="A129" s="13" t="str">
        <x:v>5m_30d_plus_event_day_confirmed_exchange_in_atom_to_spot_range_stress</x:v>
      </x:c>
      <x:c r="B129" s="13" t="str">
        <x:v>5m</x:v>
      </x:c>
      <x:c r="C129" s="13" t="str">
        <x:v>30d_plus_event_day</x:v>
      </x:c>
      <x:c r="D129" s="13" t="str">
        <x:v>confirmed_exchange_in_atom</x:v>
      </x:c>
      <x:c r="E129" s="13" t="str">
        <x:v>spot_range_stress</x:v>
      </x:c>
      <x:c r="F129" s="40" t="n">
        <x:v>5</x:v>
      </x:c>
      <x:c r="G129" s="40" t="n">
        <x:v>25</x:v>
      </x:c>
      <x:c r="H129" s="42" t="n">
        <x:v>0.01315416324943059</x:v>
      </x:c>
      <x:c r="I129" s="17" t="n">
        <x:v>8923</x:v>
      </x:c>
    </x:row>
    <x:row r="130">
      <x:c r="A130" s="13" t="str">
        <x:v>5m_30d_plus_event_day_confirmed_exchange_in_atom_to_spot_range_stress</x:v>
      </x:c>
      <x:c r="B130" s="13" t="str">
        <x:v>5m</x:v>
      </x:c>
      <x:c r="C130" s="13" t="str">
        <x:v>30d_plus_event_day</x:v>
      </x:c>
      <x:c r="D130" s="13" t="str">
        <x:v>confirmed_exchange_in_atom</x:v>
      </x:c>
      <x:c r="E130" s="13" t="str">
        <x:v>spot_range_stress</x:v>
      </x:c>
      <x:c r="F130" s="40" t="n">
        <x:v>6</x:v>
      </x:c>
      <x:c r="G130" s="40" t="n">
        <x:v>30</x:v>
      </x:c>
      <x:c r="H130" s="42" t="n">
        <x:v>0.012584974750228404</x:v>
      </x:c>
      <x:c r="I130" s="17" t="n">
        <x:v>8922</x:v>
      </x:c>
    </x:row>
    <x:row r="131">
      <x:c r="A131" s="13" t="str">
        <x:v>5m_30d_plus_event_day_confirmed_exchange_in_atom_to_spot_range_stress</x:v>
      </x:c>
      <x:c r="B131" s="13" t="str">
        <x:v>5m</x:v>
      </x:c>
      <x:c r="C131" s="13" t="str">
        <x:v>30d_plus_event_day</x:v>
      </x:c>
      <x:c r="D131" s="13" t="str">
        <x:v>confirmed_exchange_in_atom</x:v>
      </x:c>
      <x:c r="E131" s="13" t="str">
        <x:v>spot_range_stress</x:v>
      </x:c>
      <x:c r="F131" s="40" t="n">
        <x:v>7</x:v>
      </x:c>
      <x:c r="G131" s="40" t="n">
        <x:v>35</x:v>
      </x:c>
      <x:c r="H131" s="42" t="n">
        <x:v>0.006455443866350003</x:v>
      </x:c>
      <x:c r="I131" s="17" t="n">
        <x:v>8921</x:v>
      </x:c>
    </x:row>
    <x:row r="132">
      <x:c r="A132" s="13" t="str">
        <x:v>5m_30d_plus_event_day_confirmed_exchange_in_atom_to_spot_range_stress</x:v>
      </x:c>
      <x:c r="B132" s="13" t="str">
        <x:v>5m</x:v>
      </x:c>
      <x:c r="C132" s="13" t="str">
        <x:v>30d_plus_event_day</x:v>
      </x:c>
      <x:c r="D132" s="13" t="str">
        <x:v>confirmed_exchange_in_atom</x:v>
      </x:c>
      <x:c r="E132" s="13" t="str">
        <x:v>spot_range_stress</x:v>
      </x:c>
      <x:c r="F132" s="40" t="n">
        <x:v>8</x:v>
      </x:c>
      <x:c r="G132" s="40" t="n">
        <x:v>40</x:v>
      </x:c>
      <x:c r="H132" s="42" t="n">
        <x:v>-0.009436025074244467</x:v>
      </x:c>
      <x:c r="I132" s="17" t="n">
        <x:v>8920</x:v>
      </x:c>
    </x:row>
    <x:row r="133">
      <x:c r="A133" s="13" t="str">
        <x:v>5m_30d_plus_event_day_confirmed_exchange_in_atom_to_spot_range_stress</x:v>
      </x:c>
      <x:c r="B133" s="13" t="str">
        <x:v>5m</x:v>
      </x:c>
      <x:c r="C133" s="13" t="str">
        <x:v>30d_plus_event_day</x:v>
      </x:c>
      <x:c r="D133" s="13" t="str">
        <x:v>confirmed_exchange_in_atom</x:v>
      </x:c>
      <x:c r="E133" s="13" t="str">
        <x:v>spot_range_stress</x:v>
      </x:c>
      <x:c r="F133" s="40" t="n">
        <x:v>9</x:v>
      </x:c>
      <x:c r="G133" s="40" t="n">
        <x:v>45</x:v>
      </x:c>
      <x:c r="H133" s="42" t="n">
        <x:v>-0.0020510995979455982</x:v>
      </x:c>
      <x:c r="I133" s="17" t="n">
        <x:v>8919</x:v>
      </x:c>
    </x:row>
    <x:row r="134">
      <x:c r="A134" s="13" t="str">
        <x:v>5m_30d_plus_event_day_confirmed_exchange_in_atom_to_spot_range_stress</x:v>
      </x:c>
      <x:c r="B134" s="13" t="str">
        <x:v>5m</x:v>
      </x:c>
      <x:c r="C134" s="13" t="str">
        <x:v>30d_plus_event_day</x:v>
      </x:c>
      <x:c r="D134" s="13" t="str">
        <x:v>confirmed_exchange_in_atom</x:v>
      </x:c>
      <x:c r="E134" s="13" t="str">
        <x:v>spot_range_stress</x:v>
      </x:c>
      <x:c r="F134" s="40" t="n">
        <x:v>10</x:v>
      </x:c>
      <x:c r="G134" s="40" t="n">
        <x:v>50</x:v>
      </x:c>
      <x:c r="H134" s="42" t="n">
        <x:v>0.006500569877687751</x:v>
      </x:c>
      <x:c r="I134" s="17" t="n">
        <x:v>8918</x:v>
      </x:c>
    </x:row>
    <x:row r="135">
      <x:c r="A135" s="13" t="str">
        <x:v>5m_30d_plus_event_day_confirmed_exchange_in_atom_to_spot_range_stress</x:v>
      </x:c>
      <x:c r="B135" s="13" t="str">
        <x:v>5m</x:v>
      </x:c>
      <x:c r="C135" s="13" t="str">
        <x:v>30d_plus_event_day</x:v>
      </x:c>
      <x:c r="D135" s="13" t="str">
        <x:v>confirmed_exchange_in_atom</x:v>
      </x:c>
      <x:c r="E135" s="13" t="str">
        <x:v>spot_range_stress</x:v>
      </x:c>
      <x:c r="F135" s="40" t="n">
        <x:v>11</x:v>
      </x:c>
      <x:c r="G135" s="40" t="n">
        <x:v>55</x:v>
      </x:c>
      <x:c r="H135" s="42" t="n">
        <x:v>0.008822098415905576</x:v>
      </x:c>
      <x:c r="I135" s="17" t="n">
        <x:v>8917</x:v>
      </x:c>
    </x:row>
    <x:row r="136">
      <x:c r="A136" s="13" t="str">
        <x:v>5m_30d_plus_event_day_confirmed_exchange_in_atom_to_spot_range_stress</x:v>
      </x:c>
      <x:c r="B136" s="13" t="str">
        <x:v>5m</x:v>
      </x:c>
      <x:c r="C136" s="13" t="str">
        <x:v>30d_plus_event_day</x:v>
      </x:c>
      <x:c r="D136" s="13" t="str">
        <x:v>confirmed_exchange_in_atom</x:v>
      </x:c>
      <x:c r="E136" s="13" t="str">
        <x:v>spot_range_stress</x:v>
      </x:c>
      <x:c r="F136" s="40" t="n">
        <x:v>12</x:v>
      </x:c>
      <x:c r="G136" s="40" t="n">
        <x:v>60</x:v>
      </x:c>
      <x:c r="H136" s="42" t="n">
        <x:v>0.013391301632758968</x:v>
      </x:c>
      <x:c r="I136" s="17" t="n">
        <x:v>8916</x:v>
      </x:c>
    </x:row>
    <x:row r="137">
      <x:c r="A137" s="13" t="str">
        <x:v>5m_30d_plus_event_day_confirmed_exchange_out_atom_to_spot_range_stress</x:v>
      </x:c>
      <x:c r="B137" s="13" t="str">
        <x:v>5m</x:v>
      </x:c>
      <x:c r="C137" s="13" t="str">
        <x:v>30d_plus_event_day</x:v>
      </x:c>
      <x:c r="D137" s="13" t="str">
        <x:v>confirmed_exchange_out_atom</x:v>
      </x:c>
      <x:c r="E137" s="13" t="str">
        <x:v>spot_range_stress</x:v>
      </x:c>
      <x:c r="F137" s="40" t="n">
        <x:v>-12</x:v>
      </x:c>
      <x:c r="G137" s="40" t="n">
        <x:v>-60</x:v>
      </x:c>
      <x:c r="H137" s="42" t="n">
        <x:v>0.0400131015133667</x:v>
      </x:c>
      <x:c r="I137" s="17" t="n">
        <x:v>8916</x:v>
      </x:c>
    </x:row>
    <x:row r="138">
      <x:c r="A138" s="13" t="str">
        <x:v>5m_30d_plus_event_day_confirmed_exchange_out_atom_to_spot_range_stress</x:v>
      </x:c>
      <x:c r="B138" s="13" t="str">
        <x:v>5m</x:v>
      </x:c>
      <x:c r="C138" s="13" t="str">
        <x:v>30d_plus_event_day</x:v>
      </x:c>
      <x:c r="D138" s="13" t="str">
        <x:v>confirmed_exchange_out_atom</x:v>
      </x:c>
      <x:c r="E138" s="13" t="str">
        <x:v>spot_range_stress</x:v>
      </x:c>
      <x:c r="F138" s="40" t="n">
        <x:v>-11</x:v>
      </x:c>
      <x:c r="G138" s="40" t="n">
        <x:v>-55</x:v>
      </x:c>
      <x:c r="H138" s="42" t="n">
        <x:v>0.015053954765519725</x:v>
      </x:c>
      <x:c r="I138" s="17" t="n">
        <x:v>8917</x:v>
      </x:c>
    </x:row>
    <x:row r="139">
      <x:c r="A139" s="13" t="str">
        <x:v>5m_30d_plus_event_day_confirmed_exchange_out_atom_to_spot_range_stress</x:v>
      </x:c>
      <x:c r="B139" s="13" t="str">
        <x:v>5m</x:v>
      </x:c>
      <x:c r="C139" s="13" t="str">
        <x:v>30d_plus_event_day</x:v>
      </x:c>
      <x:c r="D139" s="13" t="str">
        <x:v>confirmed_exchange_out_atom</x:v>
      </x:c>
      <x:c r="E139" s="13" t="str">
        <x:v>spot_range_stress</x:v>
      </x:c>
      <x:c r="F139" s="40" t="n">
        <x:v>-10</x:v>
      </x:c>
      <x:c r="G139" s="40" t="n">
        <x:v>-50</x:v>
      </x:c>
      <x:c r="H139" s="42" t="n">
        <x:v>0.001654065437491184</x:v>
      </x:c>
      <x:c r="I139" s="17" t="n">
        <x:v>8918</x:v>
      </x:c>
    </x:row>
    <x:row r="140">
      <x:c r="A140" s="13" t="str">
        <x:v>5m_30d_plus_event_day_confirmed_exchange_out_atom_to_spot_range_stress</x:v>
      </x:c>
      <x:c r="B140" s="13" t="str">
        <x:v>5m</x:v>
      </x:c>
      <x:c r="C140" s="13" t="str">
        <x:v>30d_plus_event_day</x:v>
      </x:c>
      <x:c r="D140" s="13" t="str">
        <x:v>confirmed_exchange_out_atom</x:v>
      </x:c>
      <x:c r="E140" s="13" t="str">
        <x:v>spot_range_stress</x:v>
      </x:c>
      <x:c r="F140" s="40" t="n">
        <x:v>-9</x:v>
      </x:c>
      <x:c r="G140" s="40" t="n">
        <x:v>-45</x:v>
      </x:c>
      <x:c r="H140" s="42" t="n">
        <x:v>0.006946616565546692</x:v>
      </x:c>
      <x:c r="I140" s="17" t="n">
        <x:v>8919</x:v>
      </x:c>
    </x:row>
    <x:row r="141">
      <x:c r="A141" s="13" t="str">
        <x:v>5m_30d_plus_event_day_confirmed_exchange_out_atom_to_spot_range_stress</x:v>
      </x:c>
      <x:c r="B141" s="13" t="str">
        <x:v>5m</x:v>
      </x:c>
      <x:c r="C141" s="13" t="str">
        <x:v>30d_plus_event_day</x:v>
      </x:c>
      <x:c r="D141" s="13" t="str">
        <x:v>confirmed_exchange_out_atom</x:v>
      </x:c>
      <x:c r="E141" s="13" t="str">
        <x:v>spot_range_stress</x:v>
      </x:c>
      <x:c r="F141" s="40" t="n">
        <x:v>-8</x:v>
      </x:c>
      <x:c r="G141" s="40" t="n">
        <x:v>-40</x:v>
      </x:c>
      <x:c r="H141" s="42" t="n">
        <x:v>0.001831347328171697</x:v>
      </x:c>
      <x:c r="I141" s="17" t="n">
        <x:v>8920</x:v>
      </x:c>
    </x:row>
    <x:row r="142">
      <x:c r="A142" s="13" t="str">
        <x:v>5m_30d_plus_event_day_confirmed_exchange_out_atom_to_spot_range_stress</x:v>
      </x:c>
      <x:c r="B142" s="13" t="str">
        <x:v>5m</x:v>
      </x:c>
      <x:c r="C142" s="13" t="str">
        <x:v>30d_plus_event_day</x:v>
      </x:c>
      <x:c r="D142" s="13" t="str">
        <x:v>confirmed_exchange_out_atom</x:v>
      </x:c>
      <x:c r="E142" s="13" t="str">
        <x:v>spot_range_stress</x:v>
      </x:c>
      <x:c r="F142" s="40" t="n">
        <x:v>-7</x:v>
      </x:c>
      <x:c r="G142" s="40" t="n">
        <x:v>-35</x:v>
      </x:c>
      <x:c r="H142" s="42" t="n">
        <x:v>0.014469370614464102</x:v>
      </x:c>
      <x:c r="I142" s="17" t="n">
        <x:v>8921</x:v>
      </x:c>
    </x:row>
    <x:row r="143">
      <x:c r="A143" s="13" t="str">
        <x:v>5m_30d_plus_event_day_confirmed_exchange_out_atom_to_spot_range_stress</x:v>
      </x:c>
      <x:c r="B143" s="13" t="str">
        <x:v>5m</x:v>
      </x:c>
      <x:c r="C143" s="13" t="str">
        <x:v>30d_plus_event_day</x:v>
      </x:c>
      <x:c r="D143" s="13" t="str">
        <x:v>confirmed_exchange_out_atom</x:v>
      </x:c>
      <x:c r="E143" s="13" t="str">
        <x:v>spot_range_stress</x:v>
      </x:c>
      <x:c r="F143" s="40" t="n">
        <x:v>-6</x:v>
      </x:c>
      <x:c r="G143" s="40" t="n">
        <x:v>-30</x:v>
      </x:c>
      <x:c r="H143" s="42" t="n">
        <x:v>0.00924197372643315</x:v>
      </x:c>
      <x:c r="I143" s="17" t="n">
        <x:v>8922</x:v>
      </x:c>
    </x:row>
    <x:row r="144">
      <x:c r="A144" s="13" t="str">
        <x:v>5m_30d_plus_event_day_confirmed_exchange_out_atom_to_spot_range_stress</x:v>
      </x:c>
      <x:c r="B144" s="13" t="str">
        <x:v>5m</x:v>
      </x:c>
      <x:c r="C144" s="13" t="str">
        <x:v>30d_plus_event_day</x:v>
      </x:c>
      <x:c r="D144" s="13" t="str">
        <x:v>confirmed_exchange_out_atom</x:v>
      </x:c>
      <x:c r="E144" s="13" t="str">
        <x:v>spot_range_stress</x:v>
      </x:c>
      <x:c r="F144" s="40" t="n">
        <x:v>-5</x:v>
      </x:c>
      <x:c r="G144" s="40" t="n">
        <x:v>-25</x:v>
      </x:c>
      <x:c r="H144" s="42" t="n">
        <x:v>0.014530663682101852</x:v>
      </x:c>
      <x:c r="I144" s="17" t="n">
        <x:v>8923</x:v>
      </x:c>
    </x:row>
    <x:row r="145">
      <x:c r="A145" s="13" t="str">
        <x:v>5m_30d_plus_event_day_confirmed_exchange_out_atom_to_spot_range_stress</x:v>
      </x:c>
      <x:c r="B145" s="13" t="str">
        <x:v>5m</x:v>
      </x:c>
      <x:c r="C145" s="13" t="str">
        <x:v>30d_plus_event_day</x:v>
      </x:c>
      <x:c r="D145" s="13" t="str">
        <x:v>confirmed_exchange_out_atom</x:v>
      </x:c>
      <x:c r="E145" s="13" t="str">
        <x:v>spot_range_stress</x:v>
      </x:c>
      <x:c r="F145" s="40" t="n">
        <x:v>-4</x:v>
      </x:c>
      <x:c r="G145" s="40" t="n">
        <x:v>-20</x:v>
      </x:c>
      <x:c r="H145" s="42" t="n">
        <x:v>0.03547727992189724</x:v>
      </x:c>
      <x:c r="I145" s="17" t="n">
        <x:v>8924</x:v>
      </x:c>
    </x:row>
    <x:row r="146">
      <x:c r="A146" s="13" t="str">
        <x:v>5m_30d_plus_event_day_confirmed_exchange_out_atom_to_spot_range_stress</x:v>
      </x:c>
      <x:c r="B146" s="13" t="str">
        <x:v>5m</x:v>
      </x:c>
      <x:c r="C146" s="13" t="str">
        <x:v>30d_plus_event_day</x:v>
      </x:c>
      <x:c r="D146" s="13" t="str">
        <x:v>confirmed_exchange_out_atom</x:v>
      </x:c>
      <x:c r="E146" s="13" t="str">
        <x:v>spot_range_stress</x:v>
      </x:c>
      <x:c r="F146" s="40" t="n">
        <x:v>-3</x:v>
      </x:c>
      <x:c r="G146" s="40" t="n">
        <x:v>-15</x:v>
      </x:c>
      <x:c r="H146" s="42" t="n">
        <x:v>0.013229003576090883</x:v>
      </x:c>
      <x:c r="I146" s="17" t="n">
        <x:v>8925</x:v>
      </x:c>
    </x:row>
    <x:row r="147">
      <x:c r="A147" s="13" t="str">
        <x:v>5m_30d_plus_event_day_confirmed_exchange_out_atom_to_spot_range_stress</x:v>
      </x:c>
      <x:c r="B147" s="13" t="str">
        <x:v>5m</x:v>
      </x:c>
      <x:c r="C147" s="13" t="str">
        <x:v>30d_plus_event_day</x:v>
      </x:c>
      <x:c r="D147" s="13" t="str">
        <x:v>confirmed_exchange_out_atom</x:v>
      </x:c>
      <x:c r="E147" s="13" t="str">
        <x:v>spot_range_stress</x:v>
      </x:c>
      <x:c r="F147" s="40" t="n">
        <x:v>-2</x:v>
      </x:c>
      <x:c r="G147" s="40" t="n">
        <x:v>-10</x:v>
      </x:c>
      <x:c r="H147" s="42" t="n">
        <x:v>0.0292381905993072</x:v>
      </x:c>
      <x:c r="I147" s="17" t="n">
        <x:v>8926</x:v>
      </x:c>
    </x:row>
    <x:row r="148">
      <x:c r="A148" s="13" t="str">
        <x:v>5m_30d_plus_event_day_confirmed_exchange_out_atom_to_spot_range_stress</x:v>
      </x:c>
      <x:c r="B148" s="13" t="str">
        <x:v>5m</x:v>
      </x:c>
      <x:c r="C148" s="13" t="str">
        <x:v>30d_plus_event_day</x:v>
      </x:c>
      <x:c r="D148" s="13" t="str">
        <x:v>confirmed_exchange_out_atom</x:v>
      </x:c>
      <x:c r="E148" s="13" t="str">
        <x:v>spot_range_stress</x:v>
      </x:c>
      <x:c r="F148" s="40" t="n">
        <x:v>-1</x:v>
      </x:c>
      <x:c r="G148" s="40" t="n">
        <x:v>-5</x:v>
      </x:c>
      <x:c r="H148" s="42" t="n">
        <x:v>0.01129708702081062</x:v>
      </x:c>
      <x:c r="I148" s="17" t="n">
        <x:v>8927</x:v>
      </x:c>
    </x:row>
    <x:row r="149">
      <x:c r="A149" s="13" t="str">
        <x:v>5m_30d_plus_event_day_confirmed_exchange_out_atom_to_spot_range_stress</x:v>
      </x:c>
      <x:c r="B149" s="13" t="str">
        <x:v>5m</x:v>
      </x:c>
      <x:c r="C149" s="13" t="str">
        <x:v>30d_plus_event_day</x:v>
      </x:c>
      <x:c r="D149" s="13" t="str">
        <x:v>confirmed_exchange_out_atom</x:v>
      </x:c>
      <x:c r="E149" s="13" t="str">
        <x:v>spot_range_stress</x:v>
      </x:c>
      <x:c r="F149" s="40" t="n">
        <x:v>0</x:v>
      </x:c>
      <x:c r="G149" s="40" t="n">
        <x:v>0</x:v>
      </x:c>
      <x:c r="H149" s="42" t="n">
        <x:v>0.02807041665607226</x:v>
      </x:c>
      <x:c r="I149" s="17" t="n">
        <x:v>8928</x:v>
      </x:c>
    </x:row>
    <x:row r="150">
      <x:c r="A150" s="13" t="str">
        <x:v>5m_30d_plus_event_day_confirmed_exchange_out_atom_to_spot_range_stress</x:v>
      </x:c>
      <x:c r="B150" s="13" t="str">
        <x:v>5m</x:v>
      </x:c>
      <x:c r="C150" s="13" t="str">
        <x:v>30d_plus_event_day</x:v>
      </x:c>
      <x:c r="D150" s="13" t="str">
        <x:v>confirmed_exchange_out_atom</x:v>
      </x:c>
      <x:c r="E150" s="13" t="str">
        <x:v>spot_range_stress</x:v>
      </x:c>
      <x:c r="F150" s="40" t="n">
        <x:v>1</x:v>
      </x:c>
      <x:c r="G150" s="40" t="n">
        <x:v>5</x:v>
      </x:c>
      <x:c r="H150" s="42" t="n">
        <x:v>0.008510840307641501</x:v>
      </x:c>
      <x:c r="I150" s="17" t="n">
        <x:v>8927</x:v>
      </x:c>
    </x:row>
    <x:row r="151">
      <x:c r="A151" s="13" t="str">
        <x:v>5m_30d_plus_event_day_confirmed_exchange_out_atom_to_spot_range_stress</x:v>
      </x:c>
      <x:c r="B151" s="13" t="str">
        <x:v>5m</x:v>
      </x:c>
      <x:c r="C151" s="13" t="str">
        <x:v>30d_plus_event_day</x:v>
      </x:c>
      <x:c r="D151" s="13" t="str">
        <x:v>confirmed_exchange_out_atom</x:v>
      </x:c>
      <x:c r="E151" s="13" t="str">
        <x:v>spot_range_stress</x:v>
      </x:c>
      <x:c r="F151" s="40" t="n">
        <x:v>2</x:v>
      </x:c>
      <x:c r="G151" s="40" t="n">
        <x:v>10</x:v>
      </x:c>
      <x:c r="H151" s="42" t="n">
        <x:v>0.019072616877741116</x:v>
      </x:c>
      <x:c r="I151" s="17" t="n">
        <x:v>8926</x:v>
      </x:c>
    </x:row>
    <x:row r="152">
      <x:c r="A152" s="13" t="str">
        <x:v>5m_30d_plus_event_day_confirmed_exchange_out_atom_to_spot_range_stress</x:v>
      </x:c>
      <x:c r="B152" s="13" t="str">
        <x:v>5m</x:v>
      </x:c>
      <x:c r="C152" s="13" t="str">
        <x:v>30d_plus_event_day</x:v>
      </x:c>
      <x:c r="D152" s="13" t="str">
        <x:v>confirmed_exchange_out_atom</x:v>
      </x:c>
      <x:c r="E152" s="13" t="str">
        <x:v>spot_range_stress</x:v>
      </x:c>
      <x:c r="F152" s="40" t="n">
        <x:v>3</x:v>
      </x:c>
      <x:c r="G152" s="40" t="n">
        <x:v>15</x:v>
      </x:c>
      <x:c r="H152" s="42" t="n">
        <x:v>0.010545607851105077</x:v>
      </x:c>
      <x:c r="I152" s="17" t="n">
        <x:v>8925</x:v>
      </x:c>
    </x:row>
    <x:row r="153">
      <x:c r="A153" s="13" t="str">
        <x:v>5m_30d_plus_event_day_confirmed_exchange_out_atom_to_spot_range_stress</x:v>
      </x:c>
      <x:c r="B153" s="13" t="str">
        <x:v>5m</x:v>
      </x:c>
      <x:c r="C153" s="13" t="str">
        <x:v>30d_plus_event_day</x:v>
      </x:c>
      <x:c r="D153" s="13" t="str">
        <x:v>confirmed_exchange_out_atom</x:v>
      </x:c>
      <x:c r="E153" s="13" t="str">
        <x:v>spot_range_stress</x:v>
      </x:c>
      <x:c r="F153" s="40" t="n">
        <x:v>4</x:v>
      </x:c>
      <x:c r="G153" s="40" t="n">
        <x:v>20</x:v>
      </x:c>
      <x:c r="H153" s="42" t="n">
        <x:v>0.0014848152123115082</x:v>
      </x:c>
      <x:c r="I153" s="17" t="n">
        <x:v>8924</x:v>
      </x:c>
    </x:row>
    <x:row r="154">
      <x:c r="A154" s="13" t="str">
        <x:v>5m_30d_plus_event_day_confirmed_exchange_out_atom_to_spot_range_stress</x:v>
      </x:c>
      <x:c r="B154" s="13" t="str">
        <x:v>5m</x:v>
      </x:c>
      <x:c r="C154" s="13" t="str">
        <x:v>30d_plus_event_day</x:v>
      </x:c>
      <x:c r="D154" s="13" t="str">
        <x:v>confirmed_exchange_out_atom</x:v>
      </x:c>
      <x:c r="E154" s="13" t="str">
        <x:v>spot_range_stress</x:v>
      </x:c>
      <x:c r="F154" s="40" t="n">
        <x:v>5</x:v>
      </x:c>
      <x:c r="G154" s="40" t="n">
        <x:v>25</x:v>
      </x:c>
      <x:c r="H154" s="42" t="n">
        <x:v>0.009946252648760439</x:v>
      </x:c>
      <x:c r="I154" s="17" t="n">
        <x:v>8923</x:v>
      </x:c>
    </x:row>
    <x:row r="155">
      <x:c r="A155" s="13" t="str">
        <x:v>5m_30d_plus_event_day_confirmed_exchange_out_atom_to_spot_range_stress</x:v>
      </x:c>
      <x:c r="B155" s="13" t="str">
        <x:v>5m</x:v>
      </x:c>
      <x:c r="C155" s="13" t="str">
        <x:v>30d_plus_event_day</x:v>
      </x:c>
      <x:c r="D155" s="13" t="str">
        <x:v>confirmed_exchange_out_atom</x:v>
      </x:c>
      <x:c r="E155" s="13" t="str">
        <x:v>spot_range_stress</x:v>
      </x:c>
      <x:c r="F155" s="40" t="n">
        <x:v>6</x:v>
      </x:c>
      <x:c r="G155" s="40" t="n">
        <x:v>30</x:v>
      </x:c>
      <x:c r="H155" s="42" t="n">
        <x:v>0.01679018710908913</x:v>
      </x:c>
      <x:c r="I155" s="17" t="n">
        <x:v>8922</x:v>
      </x:c>
    </x:row>
    <x:row r="156">
      <x:c r="A156" s="13" t="str">
        <x:v>5m_30d_plus_event_day_confirmed_exchange_out_atom_to_spot_range_stress</x:v>
      </x:c>
      <x:c r="B156" s="13" t="str">
        <x:v>5m</x:v>
      </x:c>
      <x:c r="C156" s="13" t="str">
        <x:v>30d_plus_event_day</x:v>
      </x:c>
      <x:c r="D156" s="13" t="str">
        <x:v>confirmed_exchange_out_atom</x:v>
      </x:c>
      <x:c r="E156" s="13" t="str">
        <x:v>spot_range_stress</x:v>
      </x:c>
      <x:c r="F156" s="40" t="n">
        <x:v>7</x:v>
      </x:c>
      <x:c r="G156" s="40" t="n">
        <x:v>35</x:v>
      </x:c>
      <x:c r="H156" s="42" t="n">
        <x:v>-0.00695263963856009</x:v>
      </x:c>
      <x:c r="I156" s="17" t="n">
        <x:v>8921</x:v>
      </x:c>
    </x:row>
    <x:row r="157">
      <x:c r="A157" s="13" t="str">
        <x:v>5m_30d_plus_event_day_confirmed_exchange_out_atom_to_spot_range_stress</x:v>
      </x:c>
      <x:c r="B157" s="13" t="str">
        <x:v>5m</x:v>
      </x:c>
      <x:c r="C157" s="13" t="str">
        <x:v>30d_plus_event_day</x:v>
      </x:c>
      <x:c r="D157" s="13" t="str">
        <x:v>confirmed_exchange_out_atom</x:v>
      </x:c>
      <x:c r="E157" s="13" t="str">
        <x:v>spot_range_stress</x:v>
      </x:c>
      <x:c r="F157" s="40" t="n">
        <x:v>8</x:v>
      </x:c>
      <x:c r="G157" s="40" t="n">
        <x:v>40</x:v>
      </x:c>
      <x:c r="H157" s="42" t="n">
        <x:v>0.004696968445922624</x:v>
      </x:c>
      <x:c r="I157" s="17" t="n">
        <x:v>8920</x:v>
      </x:c>
    </x:row>
    <x:row r="158">
      <x:c r="A158" s="13" t="str">
        <x:v>5m_30d_plus_event_day_confirmed_exchange_out_atom_to_spot_range_stress</x:v>
      </x:c>
      <x:c r="B158" s="13" t="str">
        <x:v>5m</x:v>
      </x:c>
      <x:c r="C158" s="13" t="str">
        <x:v>30d_plus_event_day</x:v>
      </x:c>
      <x:c r="D158" s="13" t="str">
        <x:v>confirmed_exchange_out_atom</x:v>
      </x:c>
      <x:c r="E158" s="13" t="str">
        <x:v>spot_range_stress</x:v>
      </x:c>
      <x:c r="F158" s="40" t="n">
        <x:v>9</x:v>
      </x:c>
      <x:c r="G158" s="40" t="n">
        <x:v>45</x:v>
      </x:c>
      <x:c r="H158" s="42" t="n">
        <x:v>0.00037509658767953617</x:v>
      </x:c>
      <x:c r="I158" s="17" t="n">
        <x:v>8919</x:v>
      </x:c>
    </x:row>
    <x:row r="159">
      <x:c r="A159" s="13" t="str">
        <x:v>5m_30d_plus_event_day_confirmed_exchange_out_atom_to_spot_range_stress</x:v>
      </x:c>
      <x:c r="B159" s="13" t="str">
        <x:v>5m</x:v>
      </x:c>
      <x:c r="C159" s="13" t="str">
        <x:v>30d_plus_event_day</x:v>
      </x:c>
      <x:c r="D159" s="13" t="str">
        <x:v>confirmed_exchange_out_atom</x:v>
      </x:c>
      <x:c r="E159" s="13" t="str">
        <x:v>spot_range_stress</x:v>
      </x:c>
      <x:c r="F159" s="40" t="n">
        <x:v>10</x:v>
      </x:c>
      <x:c r="G159" s="40" t="n">
        <x:v>50</x:v>
      </x:c>
      <x:c r="H159" s="42" t="n">
        <x:v>0.0007083765121587856</x:v>
      </x:c>
      <x:c r="I159" s="17" t="n">
        <x:v>8918</x:v>
      </x:c>
    </x:row>
    <x:row r="160">
      <x:c r="A160" s="13" t="str">
        <x:v>5m_30d_plus_event_day_confirmed_exchange_out_atom_to_spot_range_stress</x:v>
      </x:c>
      <x:c r="B160" s="13" t="str">
        <x:v>5m</x:v>
      </x:c>
      <x:c r="C160" s="13" t="str">
        <x:v>30d_plus_event_day</x:v>
      </x:c>
      <x:c r="D160" s="13" t="str">
        <x:v>confirmed_exchange_out_atom</x:v>
      </x:c>
      <x:c r="E160" s="13" t="str">
        <x:v>spot_range_stress</x:v>
      </x:c>
      <x:c r="F160" s="40" t="n">
        <x:v>11</x:v>
      </x:c>
      <x:c r="G160" s="40" t="n">
        <x:v>55</x:v>
      </x:c>
      <x:c r="H160" s="42" t="n">
        <x:v>0.004216330673089968</x:v>
      </x:c>
      <x:c r="I160" s="17" t="n">
        <x:v>8917</x:v>
      </x:c>
    </x:row>
    <x:row r="161">
      <x:c r="A161" s="13" t="str">
        <x:v>5m_30d_plus_event_day_confirmed_exchange_out_atom_to_spot_range_stress</x:v>
      </x:c>
      <x:c r="B161" s="13" t="str">
        <x:v>5m</x:v>
      </x:c>
      <x:c r="C161" s="13" t="str">
        <x:v>30d_plus_event_day</x:v>
      </x:c>
      <x:c r="D161" s="13" t="str">
        <x:v>confirmed_exchange_out_atom</x:v>
      </x:c>
      <x:c r="E161" s="13" t="str">
        <x:v>spot_range_stress</x:v>
      </x:c>
      <x:c r="F161" s="40" t="n">
        <x:v>12</x:v>
      </x:c>
      <x:c r="G161" s="40" t="n">
        <x:v>60</x:v>
      </x:c>
      <x:c r="H161" s="42" t="n">
        <x:v>0.005310929884383027</x:v>
      </x:c>
      <x:c r="I161" s="17" t="n">
        <x:v>8916</x:v>
      </x:c>
    </x:row>
    <x:row r="162">
      <x:c r="A162" s="13" t="str">
        <x:v>5m_30d_plus_event_day_unconfirmed_behavioral_in_atom_to_spot_range_stress</x:v>
      </x:c>
      <x:c r="B162" s="13" t="str">
        <x:v>5m</x:v>
      </x:c>
      <x:c r="C162" s="13" t="str">
        <x:v>30d_plus_event_day</x:v>
      </x:c>
      <x:c r="D162" s="13" t="str">
        <x:v>unconfirmed_behavioral_in_atom</x:v>
      </x:c>
      <x:c r="E162" s="13" t="str">
        <x:v>spot_range_stress</x:v>
      </x:c>
      <x:c r="F162" s="40" t="n">
        <x:v>-12</x:v>
      </x:c>
      <x:c r="G162" s="40" t="n">
        <x:v>-60</x:v>
      </x:c>
      <x:c r="H162" s="42" t="n">
        <x:v>0.02775910826727291</x:v>
      </x:c>
      <x:c r="I162" s="17" t="n">
        <x:v>8916</x:v>
      </x:c>
    </x:row>
    <x:row r="163">
      <x:c r="A163" s="13" t="str">
        <x:v>5m_30d_plus_event_day_unconfirmed_behavioral_in_atom_to_spot_range_stress</x:v>
      </x:c>
      <x:c r="B163" s="13" t="str">
        <x:v>5m</x:v>
      </x:c>
      <x:c r="C163" s="13" t="str">
        <x:v>30d_plus_event_day</x:v>
      </x:c>
      <x:c r="D163" s="13" t="str">
        <x:v>unconfirmed_behavioral_in_atom</x:v>
      </x:c>
      <x:c r="E163" s="13" t="str">
        <x:v>spot_range_stress</x:v>
      </x:c>
      <x:c r="F163" s="40" t="n">
        <x:v>-11</x:v>
      </x:c>
      <x:c r="G163" s="40" t="n">
        <x:v>-55</x:v>
      </x:c>
      <x:c r="H163" s="42" t="n">
        <x:v>0.024242999382573658</x:v>
      </x:c>
      <x:c r="I163" s="17" t="n">
        <x:v>8917</x:v>
      </x:c>
    </x:row>
    <x:row r="164">
      <x:c r="A164" s="13" t="str">
        <x:v>5m_30d_plus_event_day_unconfirmed_behavioral_in_atom_to_spot_range_stress</x:v>
      </x:c>
      <x:c r="B164" s="13" t="str">
        <x:v>5m</x:v>
      </x:c>
      <x:c r="C164" s="13" t="str">
        <x:v>30d_plus_event_day</x:v>
      </x:c>
      <x:c r="D164" s="13" t="str">
        <x:v>unconfirmed_behavioral_in_atom</x:v>
      </x:c>
      <x:c r="E164" s="13" t="str">
        <x:v>spot_range_stress</x:v>
      </x:c>
      <x:c r="F164" s="40" t="n">
        <x:v>-10</x:v>
      </x:c>
      <x:c r="G164" s="40" t="n">
        <x:v>-50</x:v>
      </x:c>
      <x:c r="H164" s="42" t="n">
        <x:v>0.024480009671925325</x:v>
      </x:c>
      <x:c r="I164" s="17" t="n">
        <x:v>8918</x:v>
      </x:c>
    </x:row>
    <x:row r="165">
      <x:c r="A165" s="13" t="str">
        <x:v>5m_30d_plus_event_day_unconfirmed_behavioral_in_atom_to_spot_range_stress</x:v>
      </x:c>
      <x:c r="B165" s="13" t="str">
        <x:v>5m</x:v>
      </x:c>
      <x:c r="C165" s="13" t="str">
        <x:v>30d_plus_event_day</x:v>
      </x:c>
      <x:c r="D165" s="13" t="str">
        <x:v>unconfirmed_behavioral_in_atom</x:v>
      </x:c>
      <x:c r="E165" s="13" t="str">
        <x:v>spot_range_stress</x:v>
      </x:c>
      <x:c r="F165" s="40" t="n">
        <x:v>-9</x:v>
      </x:c>
      <x:c r="G165" s="40" t="n">
        <x:v>-45</x:v>
      </x:c>
      <x:c r="H165" s="42" t="n">
        <x:v>0.02208081105131991</x:v>
      </x:c>
      <x:c r="I165" s="17" t="n">
        <x:v>8919</x:v>
      </x:c>
    </x:row>
    <x:row r="166">
      <x:c r="A166" s="13" t="str">
        <x:v>5m_30d_plus_event_day_unconfirmed_behavioral_in_atom_to_spot_range_stress</x:v>
      </x:c>
      <x:c r="B166" s="13" t="str">
        <x:v>5m</x:v>
      </x:c>
      <x:c r="C166" s="13" t="str">
        <x:v>30d_plus_event_day</x:v>
      </x:c>
      <x:c r="D166" s="13" t="str">
        <x:v>unconfirmed_behavioral_in_atom</x:v>
      </x:c>
      <x:c r="E166" s="13" t="str">
        <x:v>spot_range_stress</x:v>
      </x:c>
      <x:c r="F166" s="40" t="n">
        <x:v>-8</x:v>
      </x:c>
      <x:c r="G166" s="40" t="n">
        <x:v>-40</x:v>
      </x:c>
      <x:c r="H166" s="42" t="n">
        <x:v>0.02000896628890034</x:v>
      </x:c>
      <x:c r="I166" s="17" t="n">
        <x:v>8920</x:v>
      </x:c>
    </x:row>
    <x:row r="167">
      <x:c r="A167" s="13" t="str">
        <x:v>5m_30d_plus_event_day_unconfirmed_behavioral_in_atom_to_spot_range_stress</x:v>
      </x:c>
      <x:c r="B167" s="13" t="str">
        <x:v>5m</x:v>
      </x:c>
      <x:c r="C167" s="13" t="str">
        <x:v>30d_plus_event_day</x:v>
      </x:c>
      <x:c r="D167" s="13" t="str">
        <x:v>unconfirmed_behavioral_in_atom</x:v>
      </x:c>
      <x:c r="E167" s="13" t="str">
        <x:v>spot_range_stress</x:v>
      </x:c>
      <x:c r="F167" s="40" t="n">
        <x:v>-7</x:v>
      </x:c>
      <x:c r="G167" s="40" t="n">
        <x:v>-35</x:v>
      </x:c>
      <x:c r="H167" s="42" t="n">
        <x:v>0.022564624912433252</x:v>
      </x:c>
      <x:c r="I167" s="17" t="n">
        <x:v>8921</x:v>
      </x:c>
    </x:row>
    <x:row r="168">
      <x:c r="A168" s="13" t="str">
        <x:v>5m_30d_plus_event_day_unconfirmed_behavioral_in_atom_to_spot_range_stress</x:v>
      </x:c>
      <x:c r="B168" s="13" t="str">
        <x:v>5m</x:v>
      </x:c>
      <x:c r="C168" s="13" t="str">
        <x:v>30d_plus_event_day</x:v>
      </x:c>
      <x:c r="D168" s="13" t="str">
        <x:v>unconfirmed_behavioral_in_atom</x:v>
      </x:c>
      <x:c r="E168" s="13" t="str">
        <x:v>spot_range_stress</x:v>
      </x:c>
      <x:c r="F168" s="40" t="n">
        <x:v>-6</x:v>
      </x:c>
      <x:c r="G168" s="40" t="n">
        <x:v>-30</x:v>
      </x:c>
      <x:c r="H168" s="42" t="n">
        <x:v>0.026286468677793298</x:v>
      </x:c>
      <x:c r="I168" s="17" t="n">
        <x:v>8922</x:v>
      </x:c>
    </x:row>
    <x:row r="169">
      <x:c r="A169" s="13" t="str">
        <x:v>5m_30d_plus_event_day_unconfirmed_behavioral_in_atom_to_spot_range_stress</x:v>
      </x:c>
      <x:c r="B169" s="13" t="str">
        <x:v>5m</x:v>
      </x:c>
      <x:c r="C169" s="13" t="str">
        <x:v>30d_plus_event_day</x:v>
      </x:c>
      <x:c r="D169" s="13" t="str">
        <x:v>unconfirmed_behavioral_in_atom</x:v>
      </x:c>
      <x:c r="E169" s="13" t="str">
        <x:v>spot_range_stress</x:v>
      </x:c>
      <x:c r="F169" s="40" t="n">
        <x:v>-5</x:v>
      </x:c>
      <x:c r="G169" s="40" t="n">
        <x:v>-25</x:v>
      </x:c>
      <x:c r="H169" s="42" t="n">
        <x:v>0.02787603669027659</x:v>
      </x:c>
      <x:c r="I169" s="17" t="n">
        <x:v>8923</x:v>
      </x:c>
    </x:row>
    <x:row r="170">
      <x:c r="A170" s="13" t="str">
        <x:v>5m_30d_plus_event_day_unconfirmed_behavioral_in_atom_to_spot_range_stress</x:v>
      </x:c>
      <x:c r="B170" s="13" t="str">
        <x:v>5m</x:v>
      </x:c>
      <x:c r="C170" s="13" t="str">
        <x:v>30d_plus_event_day</x:v>
      </x:c>
      <x:c r="D170" s="13" t="str">
        <x:v>unconfirmed_behavioral_in_atom</x:v>
      </x:c>
      <x:c r="E170" s="13" t="str">
        <x:v>spot_range_stress</x:v>
      </x:c>
      <x:c r="F170" s="40" t="n">
        <x:v>-4</x:v>
      </x:c>
      <x:c r="G170" s="40" t="n">
        <x:v>-20</x:v>
      </x:c>
      <x:c r="H170" s="42" t="n">
        <x:v>0.02286981045094327</x:v>
      </x:c>
      <x:c r="I170" s="17" t="n">
        <x:v>8924</x:v>
      </x:c>
    </x:row>
    <x:row r="171">
      <x:c r="A171" s="13" t="str">
        <x:v>5m_30d_plus_event_day_unconfirmed_behavioral_in_atom_to_spot_range_stress</x:v>
      </x:c>
      <x:c r="B171" s="13" t="str">
        <x:v>5m</x:v>
      </x:c>
      <x:c r="C171" s="13" t="str">
        <x:v>30d_plus_event_day</x:v>
      </x:c>
      <x:c r="D171" s="13" t="str">
        <x:v>unconfirmed_behavioral_in_atom</x:v>
      </x:c>
      <x:c r="E171" s="13" t="str">
        <x:v>spot_range_stress</x:v>
      </x:c>
      <x:c r="F171" s="40" t="n">
        <x:v>-3</x:v>
      </x:c>
      <x:c r="G171" s="40" t="n">
        <x:v>-15</x:v>
      </x:c>
      <x:c r="H171" s="42" t="n">
        <x:v>0.01158228586476787</x:v>
      </x:c>
      <x:c r="I171" s="17" t="n">
        <x:v>8925</x:v>
      </x:c>
    </x:row>
    <x:row r="172">
      <x:c r="A172" s="13" t="str">
        <x:v>5m_30d_plus_event_day_unconfirmed_behavioral_in_atom_to_spot_range_stress</x:v>
      </x:c>
      <x:c r="B172" s="13" t="str">
        <x:v>5m</x:v>
      </x:c>
      <x:c r="C172" s="13" t="str">
        <x:v>30d_plus_event_day</x:v>
      </x:c>
      <x:c r="D172" s="13" t="str">
        <x:v>unconfirmed_behavioral_in_atom</x:v>
      </x:c>
      <x:c r="E172" s="13" t="str">
        <x:v>spot_range_stress</x:v>
      </x:c>
      <x:c r="F172" s="40" t="n">
        <x:v>-2</x:v>
      </x:c>
      <x:c r="G172" s="40" t="n">
        <x:v>-10</x:v>
      </x:c>
      <x:c r="H172" s="42" t="n">
        <x:v>0.01708410118570872</x:v>
      </x:c>
      <x:c r="I172" s="17" t="n">
        <x:v>8926</x:v>
      </x:c>
    </x:row>
    <x:row r="173">
      <x:c r="A173" s="13" t="str">
        <x:v>5m_30d_plus_event_day_unconfirmed_behavioral_in_atom_to_spot_range_stress</x:v>
      </x:c>
      <x:c r="B173" s="13" t="str">
        <x:v>5m</x:v>
      </x:c>
      <x:c r="C173" s="13" t="str">
        <x:v>30d_plus_event_day</x:v>
      </x:c>
      <x:c r="D173" s="13" t="str">
        <x:v>unconfirmed_behavioral_in_atom</x:v>
      </x:c>
      <x:c r="E173" s="13" t="str">
        <x:v>spot_range_stress</x:v>
      </x:c>
      <x:c r="F173" s="40" t="n">
        <x:v>-1</x:v>
      </x:c>
      <x:c r="G173" s="40" t="n">
        <x:v>-5</x:v>
      </x:c>
      <x:c r="H173" s="42" t="n">
        <x:v>0.01674960703099164</x:v>
      </x:c>
      <x:c r="I173" s="17" t="n">
        <x:v>8927</x:v>
      </x:c>
    </x:row>
    <x:row r="174">
      <x:c r="A174" s="13" t="str">
        <x:v>5m_30d_plus_event_day_unconfirmed_behavioral_in_atom_to_spot_range_stress</x:v>
      </x:c>
      <x:c r="B174" s="13" t="str">
        <x:v>5m</x:v>
      </x:c>
      <x:c r="C174" s="13" t="str">
        <x:v>30d_plus_event_day</x:v>
      </x:c>
      <x:c r="D174" s="13" t="str">
        <x:v>unconfirmed_behavioral_in_atom</x:v>
      </x:c>
      <x:c r="E174" s="13" t="str">
        <x:v>spot_range_stress</x:v>
      </x:c>
      <x:c r="F174" s="40" t="n">
        <x:v>0</x:v>
      </x:c>
      <x:c r="G174" s="40" t="n">
        <x:v>0</x:v>
      </x:c>
      <x:c r="H174" s="42" t="n">
        <x:v>0.017217801404288295</x:v>
      </x:c>
      <x:c r="I174" s="17" t="n">
        <x:v>8928</x:v>
      </x:c>
    </x:row>
    <x:row r="175">
      <x:c r="A175" s="13" t="str">
        <x:v>5m_30d_plus_event_day_unconfirmed_behavioral_in_atom_to_spot_range_stress</x:v>
      </x:c>
      <x:c r="B175" s="13" t="str">
        <x:v>5m</x:v>
      </x:c>
      <x:c r="C175" s="13" t="str">
        <x:v>30d_plus_event_day</x:v>
      </x:c>
      <x:c r="D175" s="13" t="str">
        <x:v>unconfirmed_behavioral_in_atom</x:v>
      </x:c>
      <x:c r="E175" s="13" t="str">
        <x:v>spot_range_stress</x:v>
      </x:c>
      <x:c r="F175" s="40" t="n">
        <x:v>1</x:v>
      </x:c>
      <x:c r="G175" s="40" t="n">
        <x:v>5</x:v>
      </x:c>
      <x:c r="H175" s="42" t="n">
        <x:v>0.02203835064120016</x:v>
      </x:c>
      <x:c r="I175" s="17" t="n">
        <x:v>8927</x:v>
      </x:c>
    </x:row>
    <x:row r="176">
      <x:c r="A176" s="13" t="str">
        <x:v>5m_30d_plus_event_day_unconfirmed_behavioral_in_atom_to_spot_range_stress</x:v>
      </x:c>
      <x:c r="B176" s="13" t="str">
        <x:v>5m</x:v>
      </x:c>
      <x:c r="C176" s="13" t="str">
        <x:v>30d_plus_event_day</x:v>
      </x:c>
      <x:c r="D176" s="13" t="str">
        <x:v>unconfirmed_behavioral_in_atom</x:v>
      </x:c>
      <x:c r="E176" s="13" t="str">
        <x:v>spot_range_stress</x:v>
      </x:c>
      <x:c r="F176" s="40" t="n">
        <x:v>2</x:v>
      </x:c>
      <x:c r="G176" s="40" t="n">
        <x:v>10</x:v>
      </x:c>
      <x:c r="H176" s="42" t="n">
        <x:v>0.02066737141127538</x:v>
      </x:c>
      <x:c r="I176" s="17" t="n">
        <x:v>8926</x:v>
      </x:c>
    </x:row>
    <x:row r="177">
      <x:c r="A177" s="13" t="str">
        <x:v>5m_30d_plus_event_day_unconfirmed_behavioral_in_atom_to_spot_range_stress</x:v>
      </x:c>
      <x:c r="B177" s="13" t="str">
        <x:v>5m</x:v>
      </x:c>
      <x:c r="C177" s="13" t="str">
        <x:v>30d_plus_event_day</x:v>
      </x:c>
      <x:c r="D177" s="13" t="str">
        <x:v>unconfirmed_behavioral_in_atom</x:v>
      </x:c>
      <x:c r="E177" s="13" t="str">
        <x:v>spot_range_stress</x:v>
      </x:c>
      <x:c r="F177" s="40" t="n">
        <x:v>3</x:v>
      </x:c>
      <x:c r="G177" s="40" t="n">
        <x:v>15</x:v>
      </x:c>
      <x:c r="H177" s="42" t="n">
        <x:v>0.022166379946623085</x:v>
      </x:c>
      <x:c r="I177" s="17" t="n">
        <x:v>8925</x:v>
      </x:c>
    </x:row>
    <x:row r="178">
      <x:c r="A178" s="13" t="str">
        <x:v>5m_30d_plus_event_day_unconfirmed_behavioral_in_atom_to_spot_range_stress</x:v>
      </x:c>
      <x:c r="B178" s="13" t="str">
        <x:v>5m</x:v>
      </x:c>
      <x:c r="C178" s="13" t="str">
        <x:v>30d_plus_event_day</x:v>
      </x:c>
      <x:c r="D178" s="13" t="str">
        <x:v>unconfirmed_behavioral_in_atom</x:v>
      </x:c>
      <x:c r="E178" s="13" t="str">
        <x:v>spot_range_stress</x:v>
      </x:c>
      <x:c r="F178" s="40" t="n">
        <x:v>4</x:v>
      </x:c>
      <x:c r="G178" s="40" t="n">
        <x:v>20</x:v>
      </x:c>
      <x:c r="H178" s="42" t="n">
        <x:v>0.02207761882216538</x:v>
      </x:c>
      <x:c r="I178" s="17" t="n">
        <x:v>8924</x:v>
      </x:c>
    </x:row>
    <x:row r="179">
      <x:c r="A179" s="13" t="str">
        <x:v>5m_30d_plus_event_day_unconfirmed_behavioral_in_atom_to_spot_range_stress</x:v>
      </x:c>
      <x:c r="B179" s="13" t="str">
        <x:v>5m</x:v>
      </x:c>
      <x:c r="C179" s="13" t="str">
        <x:v>30d_plus_event_day</x:v>
      </x:c>
      <x:c r="D179" s="13" t="str">
        <x:v>unconfirmed_behavioral_in_atom</x:v>
      </x:c>
      <x:c r="E179" s="13" t="str">
        <x:v>spot_range_stress</x:v>
      </x:c>
      <x:c r="F179" s="40" t="n">
        <x:v>5</x:v>
      </x:c>
      <x:c r="G179" s="40" t="n">
        <x:v>25</x:v>
      </x:c>
      <x:c r="H179" s="42" t="n">
        <x:v>0.02141208905985514</x:v>
      </x:c>
      <x:c r="I179" s="17" t="n">
        <x:v>8923</x:v>
      </x:c>
    </x:row>
    <x:row r="180">
      <x:c r="A180" s="13" t="str">
        <x:v>5m_30d_plus_event_day_unconfirmed_behavioral_in_atom_to_spot_range_stress</x:v>
      </x:c>
      <x:c r="B180" s="13" t="str">
        <x:v>5m</x:v>
      </x:c>
      <x:c r="C180" s="13" t="str">
        <x:v>30d_plus_event_day</x:v>
      </x:c>
      <x:c r="D180" s="13" t="str">
        <x:v>unconfirmed_behavioral_in_atom</x:v>
      </x:c>
      <x:c r="E180" s="13" t="str">
        <x:v>spot_range_stress</x:v>
      </x:c>
      <x:c r="F180" s="40" t="n">
        <x:v>6</x:v>
      </x:c>
      <x:c r="G180" s="40" t="n">
        <x:v>30</x:v>
      </x:c>
      <x:c r="H180" s="42" t="n">
        <x:v>0.014028805674050307</x:v>
      </x:c>
      <x:c r="I180" s="17" t="n">
        <x:v>8922</x:v>
      </x:c>
    </x:row>
    <x:row r="181">
      <x:c r="A181" s="13" t="str">
        <x:v>5m_30d_plus_event_day_unconfirmed_behavioral_in_atom_to_spot_range_stress</x:v>
      </x:c>
      <x:c r="B181" s="13" t="str">
        <x:v>5m</x:v>
      </x:c>
      <x:c r="C181" s="13" t="str">
        <x:v>30d_plus_event_day</x:v>
      </x:c>
      <x:c r="D181" s="13" t="str">
        <x:v>unconfirmed_behavioral_in_atom</x:v>
      </x:c>
      <x:c r="E181" s="13" t="str">
        <x:v>spot_range_stress</x:v>
      </x:c>
      <x:c r="F181" s="40" t="n">
        <x:v>7</x:v>
      </x:c>
      <x:c r="G181" s="40" t="n">
        <x:v>35</x:v>
      </x:c>
      <x:c r="H181" s="42" t="n">
        <x:v>0.011505397911198435</x:v>
      </x:c>
      <x:c r="I181" s="17" t="n">
        <x:v>8921</x:v>
      </x:c>
    </x:row>
    <x:row r="182">
      <x:c r="A182" s="13" t="str">
        <x:v>5m_30d_plus_event_day_unconfirmed_behavioral_in_atom_to_spot_range_stress</x:v>
      </x:c>
      <x:c r="B182" s="13" t="str">
        <x:v>5m</x:v>
      </x:c>
      <x:c r="C182" s="13" t="str">
        <x:v>30d_plus_event_day</x:v>
      </x:c>
      <x:c r="D182" s="13" t="str">
        <x:v>unconfirmed_behavioral_in_atom</x:v>
      </x:c>
      <x:c r="E182" s="13" t="str">
        <x:v>spot_range_stress</x:v>
      </x:c>
      <x:c r="F182" s="40" t="n">
        <x:v>8</x:v>
      </x:c>
      <x:c r="G182" s="40" t="n">
        <x:v>40</x:v>
      </x:c>
      <x:c r="H182" s="42" t="n">
        <x:v>0.015566297710582707</x:v>
      </x:c>
      <x:c r="I182" s="17" t="n">
        <x:v>8920</x:v>
      </x:c>
    </x:row>
    <x:row r="183">
      <x:c r="A183" s="13" t="str">
        <x:v>5m_30d_plus_event_day_unconfirmed_behavioral_in_atom_to_spot_range_stress</x:v>
      </x:c>
      <x:c r="B183" s="13" t="str">
        <x:v>5m</x:v>
      </x:c>
      <x:c r="C183" s="13" t="str">
        <x:v>30d_plus_event_day</x:v>
      </x:c>
      <x:c r="D183" s="13" t="str">
        <x:v>unconfirmed_behavioral_in_atom</x:v>
      </x:c>
      <x:c r="E183" s="13" t="str">
        <x:v>spot_range_stress</x:v>
      </x:c>
      <x:c r="F183" s="40" t="n">
        <x:v>9</x:v>
      </x:c>
      <x:c r="G183" s="40" t="n">
        <x:v>45</x:v>
      </x:c>
      <x:c r="H183" s="42" t="n">
        <x:v>0.002090643659923413</x:v>
      </x:c>
      <x:c r="I183" s="17" t="n">
        <x:v>8919</x:v>
      </x:c>
    </x:row>
    <x:row r="184">
      <x:c r="A184" s="13" t="str">
        <x:v>5m_30d_plus_event_day_unconfirmed_behavioral_in_atom_to_spot_range_stress</x:v>
      </x:c>
      <x:c r="B184" s="13" t="str">
        <x:v>5m</x:v>
      </x:c>
      <x:c r="C184" s="13" t="str">
        <x:v>30d_plus_event_day</x:v>
      </x:c>
      <x:c r="D184" s="13" t="str">
        <x:v>unconfirmed_behavioral_in_atom</x:v>
      </x:c>
      <x:c r="E184" s="13" t="str">
        <x:v>spot_range_stress</x:v>
      </x:c>
      <x:c r="F184" s="40" t="n">
        <x:v>10</x:v>
      </x:c>
      <x:c r="G184" s="40" t="n">
        <x:v>50</x:v>
      </x:c>
      <x:c r="H184" s="42" t="n">
        <x:v>0.0041702595257245515</x:v>
      </x:c>
      <x:c r="I184" s="17" t="n">
        <x:v>8918</x:v>
      </x:c>
    </x:row>
    <x:row r="185">
      <x:c r="A185" s="13" t="str">
        <x:v>5m_30d_plus_event_day_unconfirmed_behavioral_in_atom_to_spot_range_stress</x:v>
      </x:c>
      <x:c r="B185" s="13" t="str">
        <x:v>5m</x:v>
      </x:c>
      <x:c r="C185" s="13" t="str">
        <x:v>30d_plus_event_day</x:v>
      </x:c>
      <x:c r="D185" s="13" t="str">
        <x:v>unconfirmed_behavioral_in_atom</x:v>
      </x:c>
      <x:c r="E185" s="13" t="str">
        <x:v>spot_range_stress</x:v>
      </x:c>
      <x:c r="F185" s="40" t="n">
        <x:v>11</x:v>
      </x:c>
      <x:c r="G185" s="40" t="n">
        <x:v>55</x:v>
      </x:c>
      <x:c r="H185" s="42" t="n">
        <x:v>0.011740902655091244</x:v>
      </x:c>
      <x:c r="I185" s="17" t="n">
        <x:v>8917</x:v>
      </x:c>
    </x:row>
    <x:row r="186">
      <x:c r="A186" s="13" t="str">
        <x:v>5m_30d_plus_event_day_unconfirmed_behavioral_in_atom_to_spot_range_stress</x:v>
      </x:c>
      <x:c r="B186" s="13" t="str">
        <x:v>5m</x:v>
      </x:c>
      <x:c r="C186" s="13" t="str">
        <x:v>30d_plus_event_day</x:v>
      </x:c>
      <x:c r="D186" s="13" t="str">
        <x:v>unconfirmed_behavioral_in_atom</x:v>
      </x:c>
      <x:c r="E186" s="13" t="str">
        <x:v>spot_range_stress</x:v>
      </x:c>
      <x:c r="F186" s="40" t="n">
        <x:v>12</x:v>
      </x:c>
      <x:c r="G186" s="40" t="n">
        <x:v>60</x:v>
      </x:c>
      <x:c r="H186" s="42" t="n">
        <x:v>0.017531955681679385</x:v>
      </x:c>
      <x:c r="I186" s="17" t="n">
        <x:v>8916</x:v>
      </x:c>
    </x:row>
    <x:row r="187">
      <x:c r="A187" s="13" t="str">
        <x:v>5m_30d_plus_event_day_all_behavioral_candidate_in_atom_to_spot_range_stress</x:v>
      </x:c>
      <x:c r="B187" s="13" t="str">
        <x:v>5m</x:v>
      </x:c>
      <x:c r="C187" s="13" t="str">
        <x:v>30d_plus_event_day</x:v>
      </x:c>
      <x:c r="D187" s="13" t="str">
        <x:v>all_behavioral_candidate_in_atom</x:v>
      </x:c>
      <x:c r="E187" s="13" t="str">
        <x:v>spot_range_stress</x:v>
      </x:c>
      <x:c r="F187" s="40" t="n">
        <x:v>-12</x:v>
      </x:c>
      <x:c r="G187" s="40" t="n">
        <x:v>-60</x:v>
      </x:c>
      <x:c r="H187" s="42" t="n">
        <x:v>0.02970426440394896</x:v>
      </x:c>
      <x:c r="I187" s="17" t="n">
        <x:v>8916</x:v>
      </x:c>
    </x:row>
    <x:row r="188">
      <x:c r="A188" s="13" t="str">
        <x:v>5m_30d_plus_event_day_all_behavioral_candidate_in_atom_to_spot_range_stress</x:v>
      </x:c>
      <x:c r="B188" s="13" t="str">
        <x:v>5m</x:v>
      </x:c>
      <x:c r="C188" s="13" t="str">
        <x:v>30d_plus_event_day</x:v>
      </x:c>
      <x:c r="D188" s="13" t="str">
        <x:v>all_behavioral_candidate_in_atom</x:v>
      </x:c>
      <x:c r="E188" s="13" t="str">
        <x:v>spot_range_stress</x:v>
      </x:c>
      <x:c r="F188" s="40" t="n">
        <x:v>-11</x:v>
      </x:c>
      <x:c r="G188" s="40" t="n">
        <x:v>-55</x:v>
      </x:c>
      <x:c r="H188" s="42" t="n">
        <x:v>0.02656241358717465</x:v>
      </x:c>
      <x:c r="I188" s="17" t="n">
        <x:v>8917</x:v>
      </x:c>
    </x:row>
    <x:row r="189">
      <x:c r="A189" s="13" t="str">
        <x:v>5m_30d_plus_event_day_all_behavioral_candidate_in_atom_to_spot_range_stress</x:v>
      </x:c>
      <x:c r="B189" s="13" t="str">
        <x:v>5m</x:v>
      </x:c>
      <x:c r="C189" s="13" t="str">
        <x:v>30d_plus_event_day</x:v>
      </x:c>
      <x:c r="D189" s="13" t="str">
        <x:v>all_behavioral_candidate_in_atom</x:v>
      </x:c>
      <x:c r="E189" s="13" t="str">
        <x:v>spot_range_stress</x:v>
      </x:c>
      <x:c r="F189" s="40" t="n">
        <x:v>-10</x:v>
      </x:c>
      <x:c r="G189" s="40" t="n">
        <x:v>-50</x:v>
      </x:c>
      <x:c r="H189" s="42" t="n">
        <x:v>0.023636175552585372</x:v>
      </x:c>
      <x:c r="I189" s="17" t="n">
        <x:v>8918</x:v>
      </x:c>
    </x:row>
    <x:row r="190">
      <x:c r="A190" s="13" t="str">
        <x:v>5m_30d_plus_event_day_all_behavioral_candidate_in_atom_to_spot_range_stress</x:v>
      </x:c>
      <x:c r="B190" s="13" t="str">
        <x:v>5m</x:v>
      </x:c>
      <x:c r="C190" s="13" t="str">
        <x:v>30d_plus_event_day</x:v>
      </x:c>
      <x:c r="D190" s="13" t="str">
        <x:v>all_behavioral_candidate_in_atom</x:v>
      </x:c>
      <x:c r="E190" s="13" t="str">
        <x:v>spot_range_stress</x:v>
      </x:c>
      <x:c r="F190" s="40" t="n">
        <x:v>-9</x:v>
      </x:c>
      <x:c r="G190" s="40" t="n">
        <x:v>-45</x:v>
      </x:c>
      <x:c r="H190" s="42" t="n">
        <x:v>0.02363269013269751</x:v>
      </x:c>
      <x:c r="I190" s="17" t="n">
        <x:v>8919</x:v>
      </x:c>
    </x:row>
    <x:row r="191">
      <x:c r="A191" s="13" t="str">
        <x:v>5m_30d_plus_event_day_all_behavioral_candidate_in_atom_to_spot_range_stress</x:v>
      </x:c>
      <x:c r="B191" s="13" t="str">
        <x:v>5m</x:v>
      </x:c>
      <x:c r="C191" s="13" t="str">
        <x:v>30d_plus_event_day</x:v>
      </x:c>
      <x:c r="D191" s="13" t="str">
        <x:v>all_behavioral_candidate_in_atom</x:v>
      </x:c>
      <x:c r="E191" s="13" t="str">
        <x:v>spot_range_stress</x:v>
      </x:c>
      <x:c r="F191" s="40" t="n">
        <x:v>-8</x:v>
      </x:c>
      <x:c r="G191" s="40" t="n">
        <x:v>-40</x:v>
      </x:c>
      <x:c r="H191" s="42" t="n">
        <x:v>0.017860584376710453</x:v>
      </x:c>
      <x:c r="I191" s="17" t="n">
        <x:v>8920</x:v>
      </x:c>
    </x:row>
    <x:row r="192">
      <x:c r="A192" s="13" t="str">
        <x:v>5m_30d_plus_event_day_all_behavioral_candidate_in_atom_to_spot_range_stress</x:v>
      </x:c>
      <x:c r="B192" s="13" t="str">
        <x:v>5m</x:v>
      </x:c>
      <x:c r="C192" s="13" t="str">
        <x:v>30d_plus_event_day</x:v>
      </x:c>
      <x:c r="D192" s="13" t="str">
        <x:v>all_behavioral_candidate_in_atom</x:v>
      </x:c>
      <x:c r="E192" s="13" t="str">
        <x:v>spot_range_stress</x:v>
      </x:c>
      <x:c r="F192" s="40" t="n">
        <x:v>-7</x:v>
      </x:c>
      <x:c r="G192" s="40" t="n">
        <x:v>-35</x:v>
      </x:c>
      <x:c r="H192" s="42" t="n">
        <x:v>0.025384427168507626</x:v>
      </x:c>
      <x:c r="I192" s="17" t="n">
        <x:v>8921</x:v>
      </x:c>
    </x:row>
    <x:row r="193">
      <x:c r="A193" s="13" t="str">
        <x:v>5m_30d_plus_event_day_all_behavioral_candidate_in_atom_to_spot_range_stress</x:v>
      </x:c>
      <x:c r="B193" s="13" t="str">
        <x:v>5m</x:v>
      </x:c>
      <x:c r="C193" s="13" t="str">
        <x:v>30d_plus_event_day</x:v>
      </x:c>
      <x:c r="D193" s="13" t="str">
        <x:v>all_behavioral_candidate_in_atom</x:v>
      </x:c>
      <x:c r="E193" s="13" t="str">
        <x:v>spot_range_stress</x:v>
      </x:c>
      <x:c r="F193" s="40" t="n">
        <x:v>-6</x:v>
      </x:c>
      <x:c r="G193" s="40" t="n">
        <x:v>-30</x:v>
      </x:c>
      <x:c r="H193" s="42" t="n">
        <x:v>0.02774186532404497</x:v>
      </x:c>
      <x:c r="I193" s="17" t="n">
        <x:v>8922</x:v>
      </x:c>
    </x:row>
    <x:row r="194">
      <x:c r="A194" s="13" t="str">
        <x:v>5m_30d_plus_event_day_all_behavioral_candidate_in_atom_to_spot_range_stress</x:v>
      </x:c>
      <x:c r="B194" s="13" t="str">
        <x:v>5m</x:v>
      </x:c>
      <x:c r="C194" s="13" t="str">
        <x:v>30d_plus_event_day</x:v>
      </x:c>
      <x:c r="D194" s="13" t="str">
        <x:v>all_behavioral_candidate_in_atom</x:v>
      </x:c>
      <x:c r="E194" s="13" t="str">
        <x:v>spot_range_stress</x:v>
      </x:c>
      <x:c r="F194" s="40" t="n">
        <x:v>-5</x:v>
      </x:c>
      <x:c r="G194" s="40" t="n">
        <x:v>-25</x:v>
      </x:c>
      <x:c r="H194" s="42" t="n">
        <x:v>0.026501023759481605</x:v>
      </x:c>
      <x:c r="I194" s="17" t="n">
        <x:v>8923</x:v>
      </x:c>
    </x:row>
    <x:row r="195">
      <x:c r="A195" s="13" t="str">
        <x:v>5m_30d_plus_event_day_all_behavioral_candidate_in_atom_to_spot_range_stress</x:v>
      </x:c>
      <x:c r="B195" s="13" t="str">
        <x:v>5m</x:v>
      </x:c>
      <x:c r="C195" s="13" t="str">
        <x:v>30d_plus_event_day</x:v>
      </x:c>
      <x:c r="D195" s="13" t="str">
        <x:v>all_behavioral_candidate_in_atom</x:v>
      </x:c>
      <x:c r="E195" s="13" t="str">
        <x:v>spot_range_stress</x:v>
      </x:c>
      <x:c r="F195" s="40" t="n">
        <x:v>-4</x:v>
      </x:c>
      <x:c r="G195" s="40" t="n">
        <x:v>-20</x:v>
      </x:c>
      <x:c r="H195" s="42" t="n">
        <x:v>0.021211877013157885</x:v>
      </x:c>
      <x:c r="I195" s="17" t="n">
        <x:v>8924</x:v>
      </x:c>
    </x:row>
    <x:row r="196">
      <x:c r="A196" s="13" t="str">
        <x:v>5m_30d_plus_event_day_all_behavioral_candidate_in_atom_to_spot_range_stress</x:v>
      </x:c>
      <x:c r="B196" s="13" t="str">
        <x:v>5m</x:v>
      </x:c>
      <x:c r="C196" s="13" t="str">
        <x:v>30d_plus_event_day</x:v>
      </x:c>
      <x:c r="D196" s="13" t="str">
        <x:v>all_behavioral_candidate_in_atom</x:v>
      </x:c>
      <x:c r="E196" s="13" t="str">
        <x:v>spot_range_stress</x:v>
      </x:c>
      <x:c r="F196" s="40" t="n">
        <x:v>-3</x:v>
      </x:c>
      <x:c r="G196" s="40" t="n">
        <x:v>-15</x:v>
      </x:c>
      <x:c r="H196" s="42" t="n">
        <x:v>0.012810135343975864</x:v>
      </x:c>
      <x:c r="I196" s="17" t="n">
        <x:v>8925</x:v>
      </x:c>
    </x:row>
    <x:row r="197">
      <x:c r="A197" s="13" t="str">
        <x:v>5m_30d_plus_event_day_all_behavioral_candidate_in_atom_to_spot_range_stress</x:v>
      </x:c>
      <x:c r="B197" s="13" t="str">
        <x:v>5m</x:v>
      </x:c>
      <x:c r="C197" s="13" t="str">
        <x:v>30d_plus_event_day</x:v>
      </x:c>
      <x:c r="D197" s="13" t="str">
        <x:v>all_behavioral_candidate_in_atom</x:v>
      </x:c>
      <x:c r="E197" s="13" t="str">
        <x:v>spot_range_stress</x:v>
      </x:c>
      <x:c r="F197" s="40" t="n">
        <x:v>-2</x:v>
      </x:c>
      <x:c r="G197" s="40" t="n">
        <x:v>-10</x:v>
      </x:c>
      <x:c r="H197" s="42" t="n">
        <x:v>0.019220796013879864</x:v>
      </x:c>
      <x:c r="I197" s="17" t="n">
        <x:v>8926</x:v>
      </x:c>
    </x:row>
    <x:row r="198">
      <x:c r="A198" s="13" t="str">
        <x:v>5m_30d_plus_event_day_all_behavioral_candidate_in_atom_to_spot_range_stress</x:v>
      </x:c>
      <x:c r="B198" s="13" t="str">
        <x:v>5m</x:v>
      </x:c>
      <x:c r="C198" s="13" t="str">
        <x:v>30d_plus_event_day</x:v>
      </x:c>
      <x:c r="D198" s="13" t="str">
        <x:v>all_behavioral_candidate_in_atom</x:v>
      </x:c>
      <x:c r="E198" s="13" t="str">
        <x:v>spot_range_stress</x:v>
      </x:c>
      <x:c r="F198" s="40" t="n">
        <x:v>-1</x:v>
      </x:c>
      <x:c r="G198" s="40" t="n">
        <x:v>-5</x:v>
      </x:c>
      <x:c r="H198" s="42" t="n">
        <x:v>0.019465661543694338</x:v>
      </x:c>
      <x:c r="I198" s="17" t="n">
        <x:v>8927</x:v>
      </x:c>
    </x:row>
    <x:row r="199">
      <x:c r="A199" s="13" t="str">
        <x:v>5m_30d_plus_event_day_all_behavioral_candidate_in_atom_to_spot_range_stress</x:v>
      </x:c>
      <x:c r="B199" s="13" t="str">
        <x:v>5m</x:v>
      </x:c>
      <x:c r="C199" s="13" t="str">
        <x:v>30d_plus_event_day</x:v>
      </x:c>
      <x:c r="D199" s="13" t="str">
        <x:v>all_behavioral_candidate_in_atom</x:v>
      </x:c>
      <x:c r="E199" s="13" t="str">
        <x:v>spot_range_stress</x:v>
      </x:c>
      <x:c r="F199" s="40" t="n">
        <x:v>0</x:v>
      </x:c>
      <x:c r="G199" s="40" t="n">
        <x:v>0</x:v>
      </x:c>
      <x:c r="H199" s="42" t="n">
        <x:v>0.018846612804728786</x:v>
      </x:c>
      <x:c r="I199" s="17" t="n">
        <x:v>8928</x:v>
      </x:c>
    </x:row>
    <x:row r="200">
      <x:c r="A200" s="13" t="str">
        <x:v>5m_30d_plus_event_day_all_behavioral_candidate_in_atom_to_spot_range_stress</x:v>
      </x:c>
      <x:c r="B200" s="13" t="str">
        <x:v>5m</x:v>
      </x:c>
      <x:c r="C200" s="13" t="str">
        <x:v>30d_plus_event_day</x:v>
      </x:c>
      <x:c r="D200" s="13" t="str">
        <x:v>all_behavioral_candidate_in_atom</x:v>
      </x:c>
      <x:c r="E200" s="13" t="str">
        <x:v>spot_range_stress</x:v>
      </x:c>
      <x:c r="F200" s="40" t="n">
        <x:v>1</x:v>
      </x:c>
      <x:c r="G200" s="40" t="n">
        <x:v>5</x:v>
      </x:c>
      <x:c r="H200" s="42" t="n">
        <x:v>0.02393855350814915</x:v>
      </x:c>
      <x:c r="I200" s="17" t="n">
        <x:v>8927</x:v>
      </x:c>
    </x:row>
    <x:row r="201">
      <x:c r="A201" s="13" t="str">
        <x:v>5m_30d_plus_event_day_all_behavioral_candidate_in_atom_to_spot_range_stress</x:v>
      </x:c>
      <x:c r="B201" s="13" t="str">
        <x:v>5m</x:v>
      </x:c>
      <x:c r="C201" s="13" t="str">
        <x:v>30d_plus_event_day</x:v>
      </x:c>
      <x:c r="D201" s="13" t="str">
        <x:v>all_behavioral_candidate_in_atom</x:v>
      </x:c>
      <x:c r="E201" s="13" t="str">
        <x:v>spot_range_stress</x:v>
      </x:c>
      <x:c r="F201" s="40" t="n">
        <x:v>2</x:v>
      </x:c>
      <x:c r="G201" s="40" t="n">
        <x:v>10</x:v>
      </x:c>
      <x:c r="H201" s="42" t="n">
        <x:v>0.01873083021381677</x:v>
      </x:c>
      <x:c r="I201" s="17" t="n">
        <x:v>8926</x:v>
      </x:c>
    </x:row>
    <x:row r="202">
      <x:c r="A202" s="13" t="str">
        <x:v>5m_30d_plus_event_day_all_behavioral_candidate_in_atom_to_spot_range_stress</x:v>
      </x:c>
      <x:c r="B202" s="13" t="str">
        <x:v>5m</x:v>
      </x:c>
      <x:c r="C202" s="13" t="str">
        <x:v>30d_plus_event_day</x:v>
      </x:c>
      <x:c r="D202" s="13" t="str">
        <x:v>all_behavioral_candidate_in_atom</x:v>
      </x:c>
      <x:c r="E202" s="13" t="str">
        <x:v>spot_range_stress</x:v>
      </x:c>
      <x:c r="F202" s="40" t="n">
        <x:v>3</x:v>
      </x:c>
      <x:c r="G202" s="40" t="n">
        <x:v>15</x:v>
      </x:c>
      <x:c r="H202" s="42" t="n">
        <x:v>0.021453616610629188</x:v>
      </x:c>
      <x:c r="I202" s="17" t="n">
        <x:v>8925</x:v>
      </x:c>
    </x:row>
    <x:row r="203">
      <x:c r="A203" s="13" t="str">
        <x:v>5m_30d_plus_event_day_all_behavioral_candidate_in_atom_to_spot_range_stress</x:v>
      </x:c>
      <x:c r="B203" s="13" t="str">
        <x:v>5m</x:v>
      </x:c>
      <x:c r="C203" s="13" t="str">
        <x:v>30d_plus_event_day</x:v>
      </x:c>
      <x:c r="D203" s="13" t="str">
        <x:v>all_behavioral_candidate_in_atom</x:v>
      </x:c>
      <x:c r="E203" s="13" t="str">
        <x:v>spot_range_stress</x:v>
      </x:c>
      <x:c r="F203" s="40" t="n">
        <x:v>4</x:v>
      </x:c>
      <x:c r="G203" s="40" t="n">
        <x:v>20</x:v>
      </x:c>
      <x:c r="H203" s="42" t="n">
        <x:v>0.023054305390106045</x:v>
      </x:c>
      <x:c r="I203" s="17" t="n">
        <x:v>8924</x:v>
      </x:c>
    </x:row>
    <x:row r="204">
      <x:c r="A204" s="13" t="str">
        <x:v>5m_30d_plus_event_day_all_behavioral_candidate_in_atom_to_spot_range_stress</x:v>
      </x:c>
      <x:c r="B204" s="13" t="str">
        <x:v>5m</x:v>
      </x:c>
      <x:c r="C204" s="13" t="str">
        <x:v>30d_plus_event_day</x:v>
      </x:c>
      <x:c r="D204" s="13" t="str">
        <x:v>all_behavioral_candidate_in_atom</x:v>
      </x:c>
      <x:c r="E204" s="13" t="str">
        <x:v>spot_range_stress</x:v>
      </x:c>
      <x:c r="F204" s="40" t="n">
        <x:v>5</x:v>
      </x:c>
      <x:c r="G204" s="40" t="n">
        <x:v>25</x:v>
      </x:c>
      <x:c r="H204" s="42" t="n">
        <x:v>0.019199799198856178</x:v>
      </x:c>
      <x:c r="I204" s="17" t="n">
        <x:v>8923</x:v>
      </x:c>
    </x:row>
    <x:row r="205">
      <x:c r="A205" s="13" t="str">
        <x:v>5m_30d_plus_event_day_all_behavioral_candidate_in_atom_to_spot_range_stress</x:v>
      </x:c>
      <x:c r="B205" s="13" t="str">
        <x:v>5m</x:v>
      </x:c>
      <x:c r="C205" s="13" t="str">
        <x:v>30d_plus_event_day</x:v>
      </x:c>
      <x:c r="D205" s="13" t="str">
        <x:v>all_behavioral_candidate_in_atom</x:v>
      </x:c>
      <x:c r="E205" s="13" t="str">
        <x:v>spot_range_stress</x:v>
      </x:c>
      <x:c r="F205" s="40" t="n">
        <x:v>6</x:v>
      </x:c>
      <x:c r="G205" s="40" t="n">
        <x:v>30</x:v>
      </x:c>
      <x:c r="H205" s="42" t="n">
        <x:v>0.014725214219201031</x:v>
      </x:c>
      <x:c r="I205" s="17" t="n">
        <x:v>8922</x:v>
      </x:c>
    </x:row>
    <x:row r="206">
      <x:c r="A206" s="13" t="str">
        <x:v>5m_30d_plus_event_day_all_behavioral_candidate_in_atom_to_spot_range_stress</x:v>
      </x:c>
      <x:c r="B206" s="13" t="str">
        <x:v>5m</x:v>
      </x:c>
      <x:c r="C206" s="13" t="str">
        <x:v>30d_plus_event_day</x:v>
      </x:c>
      <x:c r="D206" s="13" t="str">
        <x:v>all_behavioral_candidate_in_atom</x:v>
      </x:c>
      <x:c r="E206" s="13" t="str">
        <x:v>spot_range_stress</x:v>
      </x:c>
      <x:c r="F206" s="40" t="n">
        <x:v>7</x:v>
      </x:c>
      <x:c r="G206" s="40" t="n">
        <x:v>35</x:v>
      </x:c>
      <x:c r="H206" s="42" t="n">
        <x:v>0.01047280307413669</x:v>
      </x:c>
      <x:c r="I206" s="17" t="n">
        <x:v>8921</x:v>
      </x:c>
    </x:row>
    <x:row r="207">
      <x:c r="A207" s="13" t="str">
        <x:v>5m_30d_plus_event_day_all_behavioral_candidate_in_atom_to_spot_range_stress</x:v>
      </x:c>
      <x:c r="B207" s="13" t="str">
        <x:v>5m</x:v>
      </x:c>
      <x:c r="C207" s="13" t="str">
        <x:v>30d_plus_event_day</x:v>
      </x:c>
      <x:c r="D207" s="13" t="str">
        <x:v>all_behavioral_candidate_in_atom</x:v>
      </x:c>
      <x:c r="E207" s="13" t="str">
        <x:v>spot_range_stress</x:v>
      </x:c>
      <x:c r="F207" s="40" t="n">
        <x:v>8</x:v>
      </x:c>
      <x:c r="G207" s="40" t="n">
        <x:v>40</x:v>
      </x:c>
      <x:c r="H207" s="42" t="n">
        <x:v>0.009270889033551718</x:v>
      </x:c>
      <x:c r="I207" s="17" t="n">
        <x:v>8920</x:v>
      </x:c>
    </x:row>
    <x:row r="208">
      <x:c r="A208" s="13" t="str">
        <x:v>5m_30d_plus_event_day_all_behavioral_candidate_in_atom_to_spot_range_stress</x:v>
      </x:c>
      <x:c r="B208" s="13" t="str">
        <x:v>5m</x:v>
      </x:c>
      <x:c r="C208" s="13" t="str">
        <x:v>30d_plus_event_day</x:v>
      </x:c>
      <x:c r="D208" s="13" t="str">
        <x:v>all_behavioral_candidate_in_atom</x:v>
      </x:c>
      <x:c r="E208" s="13" t="str">
        <x:v>spot_range_stress</x:v>
      </x:c>
      <x:c r="F208" s="40" t="n">
        <x:v>9</x:v>
      </x:c>
      <x:c r="G208" s="40" t="n">
        <x:v>45</x:v>
      </x:c>
      <x:c r="H208" s="42" t="n">
        <x:v>-0.002839529117969384</x:v>
      </x:c>
      <x:c r="I208" s="17" t="n">
        <x:v>8919</x:v>
      </x:c>
    </x:row>
    <x:row r="209">
      <x:c r="A209" s="13" t="str">
        <x:v>5m_30d_plus_event_day_all_behavioral_candidate_in_atom_to_spot_range_stress</x:v>
      </x:c>
      <x:c r="B209" s="13" t="str">
        <x:v>5m</x:v>
      </x:c>
      <x:c r="C209" s="13" t="str">
        <x:v>30d_plus_event_day</x:v>
      </x:c>
      <x:c r="D209" s="13" t="str">
        <x:v>all_behavioral_candidate_in_atom</x:v>
      </x:c>
      <x:c r="E209" s="13" t="str">
        <x:v>spot_range_stress</x:v>
      </x:c>
      <x:c r="F209" s="40" t="n">
        <x:v>10</x:v>
      </x:c>
      <x:c r="G209" s="40" t="n">
        <x:v>50</x:v>
      </x:c>
      <x:c r="H209" s="42" t="n">
        <x:v>0.004057481681333885</x:v>
      </x:c>
      <x:c r="I209" s="17" t="n">
        <x:v>8918</x:v>
      </x:c>
    </x:row>
    <x:row r="210">
      <x:c r="A210" s="13" t="str">
        <x:v>5m_30d_plus_event_day_all_behavioral_candidate_in_atom_to_spot_range_stress</x:v>
      </x:c>
      <x:c r="B210" s="13" t="str">
        <x:v>5m</x:v>
      </x:c>
      <x:c r="C210" s="13" t="str">
        <x:v>30d_plus_event_day</x:v>
      </x:c>
      <x:c r="D210" s="13" t="str">
        <x:v>all_behavioral_candidate_in_atom</x:v>
      </x:c>
      <x:c r="E210" s="13" t="str">
        <x:v>spot_range_stress</x:v>
      </x:c>
      <x:c r="F210" s="40" t="n">
        <x:v>11</x:v>
      </x:c>
      <x:c r="G210" s="40" t="n">
        <x:v>55</x:v>
      </x:c>
      <x:c r="H210" s="42" t="n">
        <x:v>0.009879616040468645</x:v>
      </x:c>
      <x:c r="I210" s="17" t="n">
        <x:v>8917</x:v>
      </x:c>
    </x:row>
    <x:row r="211">
      <x:c r="A211" s="13" t="str">
        <x:v>5m_30d_plus_event_day_all_behavioral_candidate_in_atom_to_spot_range_stress</x:v>
      </x:c>
      <x:c r="B211" s="13" t="str">
        <x:v>5m</x:v>
      </x:c>
      <x:c r="C211" s="13" t="str">
        <x:v>30d_plus_event_day</x:v>
      </x:c>
      <x:c r="D211" s="13" t="str">
        <x:v>all_behavioral_candidate_in_atom</x:v>
      </x:c>
      <x:c r="E211" s="13" t="str">
        <x:v>spot_range_stress</x:v>
      </x:c>
      <x:c r="F211" s="40" t="n">
        <x:v>12</x:v>
      </x:c>
      <x:c r="G211" s="40" t="n">
        <x:v>60</x:v>
      </x:c>
      <x:c r="H211" s="42" t="n">
        <x:v>0.01558854599876227</x:v>
      </x:c>
      <x:c r="I211" s="17" t="n">
        <x:v>8916</x:v>
      </x:c>
    </x:row>
    <x:row r="212">
      <x:c r="A212" s="13" t="str">
        <x:v>5m_30d_plus_event_day_confirmed_exchange_net_in_atom_to_spot_return</x:v>
      </x:c>
      <x:c r="B212" s="13" t="str">
        <x:v>5m</x:v>
      </x:c>
      <x:c r="C212" s="13" t="str">
        <x:v>30d_plus_event_day</x:v>
      </x:c>
      <x:c r="D212" s="13" t="str">
        <x:v>confirmed_exchange_net_in_atom</x:v>
      </x:c>
      <x:c r="E212" s="13" t="str">
        <x:v>spot_return</x:v>
      </x:c>
      <x:c r="F212" s="40" t="n">
        <x:v>-12</x:v>
      </x:c>
      <x:c r="G212" s="40" t="n">
        <x:v>-60</x:v>
      </x:c>
      <x:c r="H212" s="42" t="n">
        <x:v>0.020931439721672645</x:v>
      </x:c>
      <x:c r="I212" s="17" t="n">
        <x:v>8916</x:v>
      </x:c>
    </x:row>
    <x:row r="213">
      <x:c r="A213" s="13" t="str">
        <x:v>5m_30d_plus_event_day_confirmed_exchange_net_in_atom_to_spot_return</x:v>
      </x:c>
      <x:c r="B213" s="13" t="str">
        <x:v>5m</x:v>
      </x:c>
      <x:c r="C213" s="13" t="str">
        <x:v>30d_plus_event_day</x:v>
      </x:c>
      <x:c r="D213" s="13" t="str">
        <x:v>confirmed_exchange_net_in_atom</x:v>
      </x:c>
      <x:c r="E213" s="13" t="str">
        <x:v>spot_return</x:v>
      </x:c>
      <x:c r="F213" s="40" t="n">
        <x:v>-11</x:v>
      </x:c>
      <x:c r="G213" s="40" t="n">
        <x:v>-55</x:v>
      </x:c>
      <x:c r="H213" s="42" t="n">
        <x:v>-0.014539407864300453</x:v>
      </x:c>
      <x:c r="I213" s="17" t="n">
        <x:v>8917</x:v>
      </x:c>
    </x:row>
    <x:row r="214">
      <x:c r="A214" s="13" t="str">
        <x:v>5m_30d_plus_event_day_confirmed_exchange_net_in_atom_to_spot_return</x:v>
      </x:c>
      <x:c r="B214" s="13" t="str">
        <x:v>5m</x:v>
      </x:c>
      <x:c r="C214" s="13" t="str">
        <x:v>30d_plus_event_day</x:v>
      </x:c>
      <x:c r="D214" s="13" t="str">
        <x:v>confirmed_exchange_net_in_atom</x:v>
      </x:c>
      <x:c r="E214" s="13" t="str">
        <x:v>spot_return</x:v>
      </x:c>
      <x:c r="F214" s="40" t="n">
        <x:v>-10</x:v>
      </x:c>
      <x:c r="G214" s="40" t="n">
        <x:v>-50</x:v>
      </x:c>
      <x:c r="H214" s="42" t="n">
        <x:v>-0.007077869396206726</x:v>
      </x:c>
      <x:c r="I214" s="17" t="n">
        <x:v>8918</x:v>
      </x:c>
    </x:row>
    <x:row r="215">
      <x:c r="A215" s="13" t="str">
        <x:v>5m_30d_plus_event_day_confirmed_exchange_net_in_atom_to_spot_return</x:v>
      </x:c>
      <x:c r="B215" s="13" t="str">
        <x:v>5m</x:v>
      </x:c>
      <x:c r="C215" s="13" t="str">
        <x:v>30d_plus_event_day</x:v>
      </x:c>
      <x:c r="D215" s="13" t="str">
        <x:v>confirmed_exchange_net_in_atom</x:v>
      </x:c>
      <x:c r="E215" s="13" t="str">
        <x:v>spot_return</x:v>
      </x:c>
      <x:c r="F215" s="40" t="n">
        <x:v>-9</x:v>
      </x:c>
      <x:c r="G215" s="40" t="n">
        <x:v>-45</x:v>
      </x:c>
      <x:c r="H215" s="42" t="n">
        <x:v>-0.006495396384168197</x:v>
      </x:c>
      <x:c r="I215" s="17" t="n">
        <x:v>8919</x:v>
      </x:c>
    </x:row>
    <x:row r="216">
      <x:c r="A216" s="13" t="str">
        <x:v>5m_30d_plus_event_day_confirmed_exchange_net_in_atom_to_spot_return</x:v>
      </x:c>
      <x:c r="B216" s="13" t="str">
        <x:v>5m</x:v>
      </x:c>
      <x:c r="C216" s="13" t="str">
        <x:v>30d_plus_event_day</x:v>
      </x:c>
      <x:c r="D216" s="13" t="str">
        <x:v>confirmed_exchange_net_in_atom</x:v>
      </x:c>
      <x:c r="E216" s="13" t="str">
        <x:v>spot_return</x:v>
      </x:c>
      <x:c r="F216" s="40" t="n">
        <x:v>-8</x:v>
      </x:c>
      <x:c r="G216" s="40" t="n">
        <x:v>-40</x:v>
      </x:c>
      <x:c r="H216" s="42" t="n">
        <x:v>0.019828575526287258</x:v>
      </x:c>
      <x:c r="I216" s="17" t="n">
        <x:v>8920</x:v>
      </x:c>
    </x:row>
    <x:row r="217">
      <x:c r="A217" s="13" t="str">
        <x:v>5m_30d_plus_event_day_confirmed_exchange_net_in_atom_to_spot_return</x:v>
      </x:c>
      <x:c r="B217" s="13" t="str">
        <x:v>5m</x:v>
      </x:c>
      <x:c r="C217" s="13" t="str">
        <x:v>30d_plus_event_day</x:v>
      </x:c>
      <x:c r="D217" s="13" t="str">
        <x:v>confirmed_exchange_net_in_atom</x:v>
      </x:c>
      <x:c r="E217" s="13" t="str">
        <x:v>spot_return</x:v>
      </x:c>
      <x:c r="F217" s="40" t="n">
        <x:v>-7</x:v>
      </x:c>
      <x:c r="G217" s="40" t="n">
        <x:v>-35</x:v>
      </x:c>
      <x:c r="H217" s="42" t="n">
        <x:v>-0.016901831043185423</x:v>
      </x:c>
      <x:c r="I217" s="17" t="n">
        <x:v>8921</x:v>
      </x:c>
    </x:row>
    <x:row r="218">
      <x:c r="A218" s="13" t="str">
        <x:v>5m_30d_plus_event_day_confirmed_exchange_net_in_atom_to_spot_return</x:v>
      </x:c>
      <x:c r="B218" s="13" t="str">
        <x:v>5m</x:v>
      </x:c>
      <x:c r="C218" s="13" t="str">
        <x:v>30d_plus_event_day</x:v>
      </x:c>
      <x:c r="D218" s="13" t="str">
        <x:v>confirmed_exchange_net_in_atom</x:v>
      </x:c>
      <x:c r="E218" s="13" t="str">
        <x:v>spot_return</x:v>
      </x:c>
      <x:c r="F218" s="40" t="n">
        <x:v>-6</x:v>
      </x:c>
      <x:c r="G218" s="40" t="n">
        <x:v>-30</x:v>
      </x:c>
      <x:c r="H218" s="42" t="n">
        <x:v>0.009626813413789568</x:v>
      </x:c>
      <x:c r="I218" s="17" t="n">
        <x:v>8922</x:v>
      </x:c>
    </x:row>
    <x:row r="219">
      <x:c r="A219" s="13" t="str">
        <x:v>5m_30d_plus_event_day_confirmed_exchange_net_in_atom_to_spot_return</x:v>
      </x:c>
      <x:c r="B219" s="13" t="str">
        <x:v>5m</x:v>
      </x:c>
      <x:c r="C219" s="13" t="str">
        <x:v>30d_plus_event_day</x:v>
      </x:c>
      <x:c r="D219" s="13" t="str">
        <x:v>confirmed_exchange_net_in_atom</x:v>
      </x:c>
      <x:c r="E219" s="13" t="str">
        <x:v>spot_return</x:v>
      </x:c>
      <x:c r="F219" s="40" t="n">
        <x:v>-5</x:v>
      </x:c>
      <x:c r="G219" s="40" t="n">
        <x:v>-25</x:v>
      </x:c>
      <x:c r="H219" s="42" t="n">
        <x:v>0.025167074303413223</x:v>
      </x:c>
      <x:c r="I219" s="17" t="n">
        <x:v>8923</x:v>
      </x:c>
    </x:row>
    <x:row r="220">
      <x:c r="A220" s="13" t="str">
        <x:v>5m_30d_plus_event_day_confirmed_exchange_net_in_atom_to_spot_return</x:v>
      </x:c>
      <x:c r="B220" s="13" t="str">
        <x:v>5m</x:v>
      </x:c>
      <x:c r="C220" s="13" t="str">
        <x:v>30d_plus_event_day</x:v>
      </x:c>
      <x:c r="D220" s="13" t="str">
        <x:v>confirmed_exchange_net_in_atom</x:v>
      </x:c>
      <x:c r="E220" s="13" t="str">
        <x:v>spot_return</x:v>
      </x:c>
      <x:c r="F220" s="40" t="n">
        <x:v>-4</x:v>
      </x:c>
      <x:c r="G220" s="40" t="n">
        <x:v>-20</x:v>
      </x:c>
      <x:c r="H220" s="42" t="n">
        <x:v>0.011299534066633922</x:v>
      </x:c>
      <x:c r="I220" s="17" t="n">
        <x:v>8924</x:v>
      </x:c>
    </x:row>
    <x:row r="221">
      <x:c r="A221" s="13" t="str">
        <x:v>5m_30d_plus_event_day_confirmed_exchange_net_in_atom_to_spot_return</x:v>
      </x:c>
      <x:c r="B221" s="13" t="str">
        <x:v>5m</x:v>
      </x:c>
      <x:c r="C221" s="13" t="str">
        <x:v>30d_plus_event_day</x:v>
      </x:c>
      <x:c r="D221" s="13" t="str">
        <x:v>confirmed_exchange_net_in_atom</x:v>
      </x:c>
      <x:c r="E221" s="13" t="str">
        <x:v>spot_return</x:v>
      </x:c>
      <x:c r="F221" s="40" t="n">
        <x:v>-3</x:v>
      </x:c>
      <x:c r="G221" s="40" t="n">
        <x:v>-15</x:v>
      </x:c>
      <x:c r="H221" s="42" t="n">
        <x:v>-0.013287385921894226</x:v>
      </x:c>
      <x:c r="I221" s="17" t="n">
        <x:v>8925</x:v>
      </x:c>
    </x:row>
    <x:row r="222">
      <x:c r="A222" s="13" t="str">
        <x:v>5m_30d_plus_event_day_confirmed_exchange_net_in_atom_to_spot_return</x:v>
      </x:c>
      <x:c r="B222" s="13" t="str">
        <x:v>5m</x:v>
      </x:c>
      <x:c r="C222" s="13" t="str">
        <x:v>30d_plus_event_day</x:v>
      </x:c>
      <x:c r="D222" s="13" t="str">
        <x:v>confirmed_exchange_net_in_atom</x:v>
      </x:c>
      <x:c r="E222" s="13" t="str">
        <x:v>spot_return</x:v>
      </x:c>
      <x:c r="F222" s="40" t="n">
        <x:v>-2</x:v>
      </x:c>
      <x:c r="G222" s="40" t="n">
        <x:v>-10</x:v>
      </x:c>
      <x:c r="H222" s="42" t="n">
        <x:v>-0.0024962559365526373</x:v>
      </x:c>
      <x:c r="I222" s="17" t="n">
        <x:v>8926</x:v>
      </x:c>
    </x:row>
    <x:row r="223">
      <x:c r="A223" s="13" t="str">
        <x:v>5m_30d_plus_event_day_confirmed_exchange_net_in_atom_to_spot_return</x:v>
      </x:c>
      <x:c r="B223" s="13" t="str">
        <x:v>5m</x:v>
      </x:c>
      <x:c r="C223" s="13" t="str">
        <x:v>30d_plus_event_day</x:v>
      </x:c>
      <x:c r="D223" s="13" t="str">
        <x:v>confirmed_exchange_net_in_atom</x:v>
      </x:c>
      <x:c r="E223" s="13" t="str">
        <x:v>spot_return</x:v>
      </x:c>
      <x:c r="F223" s="40" t="n">
        <x:v>-1</x:v>
      </x:c>
      <x:c r="G223" s="40" t="n">
        <x:v>-5</x:v>
      </x:c>
      <x:c r="H223" s="42" t="n">
        <x:v>-0.013918967516613048</x:v>
      </x:c>
      <x:c r="I223" s="17" t="n">
        <x:v>8927</x:v>
      </x:c>
    </x:row>
    <x:row r="224">
      <x:c r="A224" s="13" t="str">
        <x:v>5m_30d_plus_event_day_confirmed_exchange_net_in_atom_to_spot_return</x:v>
      </x:c>
      <x:c r="B224" s="13" t="str">
        <x:v>5m</x:v>
      </x:c>
      <x:c r="C224" s="13" t="str">
        <x:v>30d_plus_event_day</x:v>
      </x:c>
      <x:c r="D224" s="13" t="str">
        <x:v>confirmed_exchange_net_in_atom</x:v>
      </x:c>
      <x:c r="E224" s="13" t="str">
        <x:v>spot_return</x:v>
      </x:c>
      <x:c r="F224" s="40" t="n">
        <x:v>0</x:v>
      </x:c>
      <x:c r="G224" s="40" t="n">
        <x:v>0</x:v>
      </x:c>
      <x:c r="H224" s="42" t="n">
        <x:v>0.015676531242324637</x:v>
      </x:c>
      <x:c r="I224" s="17" t="n">
        <x:v>8928</x:v>
      </x:c>
    </x:row>
    <x:row r="225">
      <x:c r="A225" s="13" t="str">
        <x:v>5m_30d_plus_event_day_confirmed_exchange_net_in_atom_to_spot_return</x:v>
      </x:c>
      <x:c r="B225" s="13" t="str">
        <x:v>5m</x:v>
      </x:c>
      <x:c r="C225" s="13" t="str">
        <x:v>30d_plus_event_day</x:v>
      </x:c>
      <x:c r="D225" s="13" t="str">
        <x:v>confirmed_exchange_net_in_atom</x:v>
      </x:c>
      <x:c r="E225" s="13" t="str">
        <x:v>spot_return</x:v>
      </x:c>
      <x:c r="F225" s="40" t="n">
        <x:v>1</x:v>
      </x:c>
      <x:c r="G225" s="40" t="n">
        <x:v>5</x:v>
      </x:c>
      <x:c r="H225" s="42" t="n">
        <x:v>-0.009043222659159278</x:v>
      </x:c>
      <x:c r="I225" s="17" t="n">
        <x:v>8927</x:v>
      </x:c>
    </x:row>
    <x:row r="226">
      <x:c r="A226" s="13" t="str">
        <x:v>5m_30d_plus_event_day_confirmed_exchange_net_in_atom_to_spot_return</x:v>
      </x:c>
      <x:c r="B226" s="13" t="str">
        <x:v>5m</x:v>
      </x:c>
      <x:c r="C226" s="13" t="str">
        <x:v>30d_plus_event_day</x:v>
      </x:c>
      <x:c r="D226" s="13" t="str">
        <x:v>confirmed_exchange_net_in_atom</x:v>
      </x:c>
      <x:c r="E226" s="13" t="str">
        <x:v>spot_return</x:v>
      </x:c>
      <x:c r="F226" s="40" t="n">
        <x:v>2</x:v>
      </x:c>
      <x:c r="G226" s="40" t="n">
        <x:v>10</x:v>
      </x:c>
      <x:c r="H226" s="42" t="n">
        <x:v>0.010224547015822823</x:v>
      </x:c>
      <x:c r="I226" s="17" t="n">
        <x:v>8926</x:v>
      </x:c>
    </x:row>
    <x:row r="227">
      <x:c r="A227" s="13" t="str">
        <x:v>5m_30d_plus_event_day_confirmed_exchange_net_in_atom_to_spot_return</x:v>
      </x:c>
      <x:c r="B227" s="13" t="str">
        <x:v>5m</x:v>
      </x:c>
      <x:c r="C227" s="13" t="str">
        <x:v>30d_plus_event_day</x:v>
      </x:c>
      <x:c r="D227" s="13" t="str">
        <x:v>confirmed_exchange_net_in_atom</x:v>
      </x:c>
      <x:c r="E227" s="13" t="str">
        <x:v>spot_return</x:v>
      </x:c>
      <x:c r="F227" s="40" t="n">
        <x:v>3</x:v>
      </x:c>
      <x:c r="G227" s="40" t="n">
        <x:v>15</x:v>
      </x:c>
      <x:c r="H227" s="42" t="n">
        <x:v>-0.018566373048245696</x:v>
      </x:c>
      <x:c r="I227" s="17" t="n">
        <x:v>8925</x:v>
      </x:c>
    </x:row>
    <x:row r="228">
      <x:c r="A228" s="13" t="str">
        <x:v>5m_30d_plus_event_day_confirmed_exchange_net_in_atom_to_spot_return</x:v>
      </x:c>
      <x:c r="B228" s="13" t="str">
        <x:v>5m</x:v>
      </x:c>
      <x:c r="C228" s="13" t="str">
        <x:v>30d_plus_event_day</x:v>
      </x:c>
      <x:c r="D228" s="13" t="str">
        <x:v>confirmed_exchange_net_in_atom</x:v>
      </x:c>
      <x:c r="E228" s="13" t="str">
        <x:v>spot_return</x:v>
      </x:c>
      <x:c r="F228" s="40" t="n">
        <x:v>4</x:v>
      </x:c>
      <x:c r="G228" s="40" t="n">
        <x:v>20</x:v>
      </x:c>
      <x:c r="H228" s="42" t="n">
        <x:v>-0.0074598157327825905</x:v>
      </x:c>
      <x:c r="I228" s="17" t="n">
        <x:v>8924</x:v>
      </x:c>
    </x:row>
    <x:row r="229">
      <x:c r="A229" s="13" t="str">
        <x:v>5m_30d_plus_event_day_confirmed_exchange_net_in_atom_to_spot_return</x:v>
      </x:c>
      <x:c r="B229" s="13" t="str">
        <x:v>5m</x:v>
      </x:c>
      <x:c r="C229" s="13" t="str">
        <x:v>30d_plus_event_day</x:v>
      </x:c>
      <x:c r="D229" s="13" t="str">
        <x:v>confirmed_exchange_net_in_atom</x:v>
      </x:c>
      <x:c r="E229" s="13" t="str">
        <x:v>spot_return</x:v>
      </x:c>
      <x:c r="F229" s="40" t="n">
        <x:v>5</x:v>
      </x:c>
      <x:c r="G229" s="40" t="n">
        <x:v>25</x:v>
      </x:c>
      <x:c r="H229" s="42" t="n">
        <x:v>0.0007760658533928209</x:v>
      </x:c>
      <x:c r="I229" s="17" t="n">
        <x:v>8923</x:v>
      </x:c>
    </x:row>
    <x:row r="230">
      <x:c r="A230" s="13" t="str">
        <x:v>5m_30d_plus_event_day_confirmed_exchange_net_in_atom_to_spot_return</x:v>
      </x:c>
      <x:c r="B230" s="13" t="str">
        <x:v>5m</x:v>
      </x:c>
      <x:c r="C230" s="13" t="str">
        <x:v>30d_plus_event_day</x:v>
      </x:c>
      <x:c r="D230" s="13" t="str">
        <x:v>confirmed_exchange_net_in_atom</x:v>
      </x:c>
      <x:c r="E230" s="13" t="str">
        <x:v>spot_return</x:v>
      </x:c>
      <x:c r="F230" s="40" t="n">
        <x:v>6</x:v>
      </x:c>
      <x:c r="G230" s="40" t="n">
        <x:v>30</x:v>
      </x:c>
      <x:c r="H230" s="42" t="n">
        <x:v>-0.0013407399061999706</x:v>
      </x:c>
      <x:c r="I230" s="17" t="n">
        <x:v>8922</x:v>
      </x:c>
    </x:row>
    <x:row r="231">
      <x:c r="A231" s="13" t="str">
        <x:v>5m_30d_plus_event_day_confirmed_exchange_net_in_atom_to_spot_return</x:v>
      </x:c>
      <x:c r="B231" s="13" t="str">
        <x:v>5m</x:v>
      </x:c>
      <x:c r="C231" s="13" t="str">
        <x:v>30d_plus_event_day</x:v>
      </x:c>
      <x:c r="D231" s="13" t="str">
        <x:v>confirmed_exchange_net_in_atom</x:v>
      </x:c>
      <x:c r="E231" s="13" t="str">
        <x:v>spot_return</x:v>
      </x:c>
      <x:c r="F231" s="40" t="n">
        <x:v>7</x:v>
      </x:c>
      <x:c r="G231" s="40" t="n">
        <x:v>35</x:v>
      </x:c>
      <x:c r="H231" s="42" t="n">
        <x:v>0.0033987022238897257</x:v>
      </x:c>
      <x:c r="I231" s="17" t="n">
        <x:v>8921</x:v>
      </x:c>
    </x:row>
    <x:row r="232">
      <x:c r="A232" s="13" t="str">
        <x:v>5m_30d_plus_event_day_confirmed_exchange_net_in_atom_to_spot_return</x:v>
      </x:c>
      <x:c r="B232" s="13" t="str">
        <x:v>5m</x:v>
      </x:c>
      <x:c r="C232" s="13" t="str">
        <x:v>30d_plus_event_day</x:v>
      </x:c>
      <x:c r="D232" s="13" t="str">
        <x:v>confirmed_exchange_net_in_atom</x:v>
      </x:c>
      <x:c r="E232" s="13" t="str">
        <x:v>spot_return</x:v>
      </x:c>
      <x:c r="F232" s="40" t="n">
        <x:v>8</x:v>
      </x:c>
      <x:c r="G232" s="40" t="n">
        <x:v>40</x:v>
      </x:c>
      <x:c r="H232" s="42" t="n">
        <x:v>0.012358629372784488</x:v>
      </x:c>
      <x:c r="I232" s="17" t="n">
        <x:v>8920</x:v>
      </x:c>
    </x:row>
    <x:row r="233">
      <x:c r="A233" s="13" t="str">
        <x:v>5m_30d_plus_event_day_confirmed_exchange_net_in_atom_to_spot_return</x:v>
      </x:c>
      <x:c r="B233" s="13" t="str">
        <x:v>5m</x:v>
      </x:c>
      <x:c r="C233" s="13" t="str">
        <x:v>30d_plus_event_day</x:v>
      </x:c>
      <x:c r="D233" s="13" t="str">
        <x:v>confirmed_exchange_net_in_atom</x:v>
      </x:c>
      <x:c r="E233" s="13" t="str">
        <x:v>spot_return</x:v>
      </x:c>
      <x:c r="F233" s="40" t="n">
        <x:v>9</x:v>
      </x:c>
      <x:c r="G233" s="40" t="n">
        <x:v>45</x:v>
      </x:c>
      <x:c r="H233" s="42" t="n">
        <x:v>-0.0059386476166217155</x:v>
      </x:c>
      <x:c r="I233" s="17" t="n">
        <x:v>8919</x:v>
      </x:c>
    </x:row>
    <x:row r="234">
      <x:c r="A234" s="13" t="str">
        <x:v>5m_30d_plus_event_day_confirmed_exchange_net_in_atom_to_spot_return</x:v>
      </x:c>
      <x:c r="B234" s="13" t="str">
        <x:v>5m</x:v>
      </x:c>
      <x:c r="C234" s="13" t="str">
        <x:v>30d_plus_event_day</x:v>
      </x:c>
      <x:c r="D234" s="13" t="str">
        <x:v>confirmed_exchange_net_in_atom</x:v>
      </x:c>
      <x:c r="E234" s="13" t="str">
        <x:v>spot_return</x:v>
      </x:c>
      <x:c r="F234" s="40" t="n">
        <x:v>10</x:v>
      </x:c>
      <x:c r="G234" s="40" t="n">
        <x:v>50</x:v>
      </x:c>
      <x:c r="H234" s="42" t="n">
        <x:v>0.010145271092247266</x:v>
      </x:c>
      <x:c r="I234" s="17" t="n">
        <x:v>8918</x:v>
      </x:c>
    </x:row>
    <x:row r="235">
      <x:c r="A235" s="13" t="str">
        <x:v>5m_30d_plus_event_day_confirmed_exchange_net_in_atom_to_spot_return</x:v>
      </x:c>
      <x:c r="B235" s="13" t="str">
        <x:v>5m</x:v>
      </x:c>
      <x:c r="C235" s="13" t="str">
        <x:v>30d_plus_event_day</x:v>
      </x:c>
      <x:c r="D235" s="13" t="str">
        <x:v>confirmed_exchange_net_in_atom</x:v>
      </x:c>
      <x:c r="E235" s="13" t="str">
        <x:v>spot_return</x:v>
      </x:c>
      <x:c r="F235" s="40" t="n">
        <x:v>11</x:v>
      </x:c>
      <x:c r="G235" s="40" t="n">
        <x:v>55</x:v>
      </x:c>
      <x:c r="H235" s="42" t="n">
        <x:v>-0.0001783251305133463</x:v>
      </x:c>
      <x:c r="I235" s="17" t="n">
        <x:v>8917</x:v>
      </x:c>
    </x:row>
    <x:row r="236">
      <x:c r="A236" s="13" t="str">
        <x:v>5m_30d_plus_event_day_confirmed_exchange_net_in_atom_to_spot_return</x:v>
      </x:c>
      <x:c r="B236" s="13" t="str">
        <x:v>5m</x:v>
      </x:c>
      <x:c r="C236" s="13" t="str">
        <x:v>30d_plus_event_day</x:v>
      </x:c>
      <x:c r="D236" s="13" t="str">
        <x:v>confirmed_exchange_net_in_atom</x:v>
      </x:c>
      <x:c r="E236" s="13" t="str">
        <x:v>spot_return</x:v>
      </x:c>
      <x:c r="F236" s="40" t="n">
        <x:v>12</x:v>
      </x:c>
      <x:c r="G236" s="40" t="n">
        <x:v>60</x:v>
      </x:c>
      <x:c r="H236" s="42" t="n">
        <x:v>0.0023078642822830057</x:v>
      </x:c>
      <x:c r="I236" s="17" t="n">
        <x:v>8916</x:v>
      </x:c>
    </x:row>
    <x:row r="237">
      <x:c r="A237" s="13" t="str">
        <x:v>5m_30d_plus_event_day_ibc_inbound_atom_to_spot_range_stress</x:v>
      </x:c>
      <x:c r="B237" s="13" t="str">
        <x:v>5m</x:v>
      </x:c>
      <x:c r="C237" s="13" t="str">
        <x:v>30d_plus_event_day</x:v>
      </x:c>
      <x:c r="D237" s="13" t="str">
        <x:v>ibc_inbound_atom</x:v>
      </x:c>
      <x:c r="E237" s="13" t="str">
        <x:v>spot_range_stress</x:v>
      </x:c>
      <x:c r="F237" s="40" t="n">
        <x:v>-12</x:v>
      </x:c>
      <x:c r="G237" s="40" t="n">
        <x:v>-60</x:v>
      </x:c>
      <x:c r="H237" s="42" t="n">
        <x:v>0.041533349160342924</x:v>
      </x:c>
      <x:c r="I237" s="17" t="n">
        <x:v>8916</x:v>
      </x:c>
    </x:row>
    <x:row r="238">
      <x:c r="A238" s="13" t="str">
        <x:v>5m_30d_plus_event_day_ibc_inbound_atom_to_spot_range_stress</x:v>
      </x:c>
      <x:c r="B238" s="13" t="str">
        <x:v>5m</x:v>
      </x:c>
      <x:c r="C238" s="13" t="str">
        <x:v>30d_plus_event_day</x:v>
      </x:c>
      <x:c r="D238" s="13" t="str">
        <x:v>ibc_inbound_atom</x:v>
      </x:c>
      <x:c r="E238" s="13" t="str">
        <x:v>spot_range_stress</x:v>
      </x:c>
      <x:c r="F238" s="40" t="n">
        <x:v>-11</x:v>
      </x:c>
      <x:c r="G238" s="40" t="n">
        <x:v>-55</x:v>
      </x:c>
      <x:c r="H238" s="42" t="n">
        <x:v>0.035931752549917394</x:v>
      </x:c>
      <x:c r="I238" s="17" t="n">
        <x:v>8917</x:v>
      </x:c>
    </x:row>
    <x:row r="239">
      <x:c r="A239" s="13" t="str">
        <x:v>5m_30d_plus_event_day_ibc_inbound_atom_to_spot_range_stress</x:v>
      </x:c>
      <x:c r="B239" s="13" t="str">
        <x:v>5m</x:v>
      </x:c>
      <x:c r="C239" s="13" t="str">
        <x:v>30d_plus_event_day</x:v>
      </x:c>
      <x:c r="D239" s="13" t="str">
        <x:v>ibc_inbound_atom</x:v>
      </x:c>
      <x:c r="E239" s="13" t="str">
        <x:v>spot_range_stress</x:v>
      </x:c>
      <x:c r="F239" s="40" t="n">
        <x:v>-10</x:v>
      </x:c>
      <x:c r="G239" s="40" t="n">
        <x:v>-50</x:v>
      </x:c>
      <x:c r="H239" s="42" t="n">
        <x:v>0.03436198633550965</x:v>
      </x:c>
      <x:c r="I239" s="17" t="n">
        <x:v>8918</x:v>
      </x:c>
    </x:row>
    <x:row r="240">
      <x:c r="A240" s="13" t="str">
        <x:v>5m_30d_plus_event_day_ibc_inbound_atom_to_spot_range_stress</x:v>
      </x:c>
      <x:c r="B240" s="13" t="str">
        <x:v>5m</x:v>
      </x:c>
      <x:c r="C240" s="13" t="str">
        <x:v>30d_plus_event_day</x:v>
      </x:c>
      <x:c r="D240" s="13" t="str">
        <x:v>ibc_inbound_atom</x:v>
      </x:c>
      <x:c r="E240" s="13" t="str">
        <x:v>spot_range_stress</x:v>
      </x:c>
      <x:c r="F240" s="40" t="n">
        <x:v>-9</x:v>
      </x:c>
      <x:c r="G240" s="40" t="n">
        <x:v>-45</x:v>
      </x:c>
      <x:c r="H240" s="42" t="n">
        <x:v>0.033352411599782604</x:v>
      </x:c>
      <x:c r="I240" s="17" t="n">
        <x:v>8919</x:v>
      </x:c>
    </x:row>
    <x:row r="241">
      <x:c r="A241" s="13" t="str">
        <x:v>5m_30d_plus_event_day_ibc_inbound_atom_to_spot_range_stress</x:v>
      </x:c>
      <x:c r="B241" s="13" t="str">
        <x:v>5m</x:v>
      </x:c>
      <x:c r="C241" s="13" t="str">
        <x:v>30d_plus_event_day</x:v>
      </x:c>
      <x:c r="D241" s="13" t="str">
        <x:v>ibc_inbound_atom</x:v>
      </x:c>
      <x:c r="E241" s="13" t="str">
        <x:v>spot_range_stress</x:v>
      </x:c>
      <x:c r="F241" s="40" t="n">
        <x:v>-8</x:v>
      </x:c>
      <x:c r="G241" s="40" t="n">
        <x:v>-40</x:v>
      </x:c>
      <x:c r="H241" s="42" t="n">
        <x:v>0.033298003000505366</x:v>
      </x:c>
      <x:c r="I241" s="17" t="n">
        <x:v>8920</x:v>
      </x:c>
    </x:row>
    <x:row r="242">
      <x:c r="A242" s="13" t="str">
        <x:v>5m_30d_plus_event_day_ibc_inbound_atom_to_spot_range_stress</x:v>
      </x:c>
      <x:c r="B242" s="13" t="str">
        <x:v>5m</x:v>
      </x:c>
      <x:c r="C242" s="13" t="str">
        <x:v>30d_plus_event_day</x:v>
      </x:c>
      <x:c r="D242" s="13" t="str">
        <x:v>ibc_inbound_atom</x:v>
      </x:c>
      <x:c r="E242" s="13" t="str">
        <x:v>spot_range_stress</x:v>
      </x:c>
      <x:c r="F242" s="40" t="n">
        <x:v>-7</x:v>
      </x:c>
      <x:c r="G242" s="40" t="n">
        <x:v>-35</x:v>
      </x:c>
      <x:c r="H242" s="42" t="n">
        <x:v>0.03182686474485637</x:v>
      </x:c>
      <x:c r="I242" s="17" t="n">
        <x:v>8921</x:v>
      </x:c>
    </x:row>
    <x:row r="243">
      <x:c r="A243" s="13" t="str">
        <x:v>5m_30d_plus_event_day_ibc_inbound_atom_to_spot_range_stress</x:v>
      </x:c>
      <x:c r="B243" s="13" t="str">
        <x:v>5m</x:v>
      </x:c>
      <x:c r="C243" s="13" t="str">
        <x:v>30d_plus_event_day</x:v>
      </x:c>
      <x:c r="D243" s="13" t="str">
        <x:v>ibc_inbound_atom</x:v>
      </x:c>
      <x:c r="E243" s="13" t="str">
        <x:v>spot_range_stress</x:v>
      </x:c>
      <x:c r="F243" s="40" t="n">
        <x:v>-6</x:v>
      </x:c>
      <x:c r="G243" s="40" t="n">
        <x:v>-30</x:v>
      </x:c>
      <x:c r="H243" s="42" t="n">
        <x:v>0.028071059513083356</x:v>
      </x:c>
      <x:c r="I243" s="17" t="n">
        <x:v>8922</x:v>
      </x:c>
    </x:row>
    <x:row r="244">
      <x:c r="A244" s="13" t="str">
        <x:v>5m_30d_plus_event_day_ibc_inbound_atom_to_spot_range_stress</x:v>
      </x:c>
      <x:c r="B244" s="13" t="str">
        <x:v>5m</x:v>
      </x:c>
      <x:c r="C244" s="13" t="str">
        <x:v>30d_plus_event_day</x:v>
      </x:c>
      <x:c r="D244" s="13" t="str">
        <x:v>ibc_inbound_atom</x:v>
      </x:c>
      <x:c r="E244" s="13" t="str">
        <x:v>spot_range_stress</x:v>
      </x:c>
      <x:c r="F244" s="40" t="n">
        <x:v>-5</x:v>
      </x:c>
      <x:c r="G244" s="40" t="n">
        <x:v>-25</x:v>
      </x:c>
      <x:c r="H244" s="42" t="n">
        <x:v>0.025962879064674753</x:v>
      </x:c>
      <x:c r="I244" s="17" t="n">
        <x:v>8923</x:v>
      </x:c>
    </x:row>
    <x:row r="245">
      <x:c r="A245" s="13" t="str">
        <x:v>5m_30d_plus_event_day_ibc_inbound_atom_to_spot_range_stress</x:v>
      </x:c>
      <x:c r="B245" s="13" t="str">
        <x:v>5m</x:v>
      </x:c>
      <x:c r="C245" s="13" t="str">
        <x:v>30d_plus_event_day</x:v>
      </x:c>
      <x:c r="D245" s="13" t="str">
        <x:v>ibc_inbound_atom</x:v>
      </x:c>
      <x:c r="E245" s="13" t="str">
        <x:v>spot_range_stress</x:v>
      </x:c>
      <x:c r="F245" s="40" t="n">
        <x:v>-4</x:v>
      </x:c>
      <x:c r="G245" s="40" t="n">
        <x:v>-20</x:v>
      </x:c>
      <x:c r="H245" s="42" t="n">
        <x:v>0.030025545111259957</x:v>
      </x:c>
      <x:c r="I245" s="17" t="n">
        <x:v>8924</x:v>
      </x:c>
    </x:row>
    <x:row r="246">
      <x:c r="A246" s="13" t="str">
        <x:v>5m_30d_plus_event_day_ibc_inbound_atom_to_spot_range_stress</x:v>
      </x:c>
      <x:c r="B246" s="13" t="str">
        <x:v>5m</x:v>
      </x:c>
      <x:c r="C246" s="13" t="str">
        <x:v>30d_plus_event_day</x:v>
      </x:c>
      <x:c r="D246" s="13" t="str">
        <x:v>ibc_inbound_atom</x:v>
      </x:c>
      <x:c r="E246" s="13" t="str">
        <x:v>spot_range_stress</x:v>
      </x:c>
      <x:c r="F246" s="40" t="n">
        <x:v>-3</x:v>
      </x:c>
      <x:c r="G246" s="40" t="n">
        <x:v>-15</x:v>
      </x:c>
      <x:c r="H246" s="42" t="n">
        <x:v>0.023993195574344362</x:v>
      </x:c>
      <x:c r="I246" s="17" t="n">
        <x:v>8925</x:v>
      </x:c>
    </x:row>
    <x:row r="247">
      <x:c r="A247" s="13" t="str">
        <x:v>5m_30d_plus_event_day_ibc_inbound_atom_to_spot_range_stress</x:v>
      </x:c>
      <x:c r="B247" s="13" t="str">
        <x:v>5m</x:v>
      </x:c>
      <x:c r="C247" s="13" t="str">
        <x:v>30d_plus_event_day</x:v>
      </x:c>
      <x:c r="D247" s="13" t="str">
        <x:v>ibc_inbound_atom</x:v>
      </x:c>
      <x:c r="E247" s="13" t="str">
        <x:v>spot_range_stress</x:v>
      </x:c>
      <x:c r="F247" s="40" t="n">
        <x:v>-2</x:v>
      </x:c>
      <x:c r="G247" s="40" t="n">
        <x:v>-10</x:v>
      </x:c>
      <x:c r="H247" s="42" t="n">
        <x:v>0.026194092573562082</x:v>
      </x:c>
      <x:c r="I247" s="17" t="n">
        <x:v>8926</x:v>
      </x:c>
    </x:row>
    <x:row r="248">
      <x:c r="A248" s="13" t="str">
        <x:v>5m_30d_plus_event_day_ibc_inbound_atom_to_spot_range_stress</x:v>
      </x:c>
      <x:c r="B248" s="13" t="str">
        <x:v>5m</x:v>
      </x:c>
      <x:c r="C248" s="13" t="str">
        <x:v>30d_plus_event_day</x:v>
      </x:c>
      <x:c r="D248" s="13" t="str">
        <x:v>ibc_inbound_atom</x:v>
      </x:c>
      <x:c r="E248" s="13" t="str">
        <x:v>spot_range_stress</x:v>
      </x:c>
      <x:c r="F248" s="40" t="n">
        <x:v>-1</x:v>
      </x:c>
      <x:c r="G248" s="40" t="n">
        <x:v>-5</x:v>
      </x:c>
      <x:c r="H248" s="42" t="n">
        <x:v>0.02749791661912031</x:v>
      </x:c>
      <x:c r="I248" s="17" t="n">
        <x:v>8927</x:v>
      </x:c>
    </x:row>
    <x:row r="249">
      <x:c r="A249" s="13" t="str">
        <x:v>5m_30d_plus_event_day_ibc_inbound_atom_to_spot_range_stress</x:v>
      </x:c>
      <x:c r="B249" s="13" t="str">
        <x:v>5m</x:v>
      </x:c>
      <x:c r="C249" s="13" t="str">
        <x:v>30d_plus_event_day</x:v>
      </x:c>
      <x:c r="D249" s="13" t="str">
        <x:v>ibc_inbound_atom</x:v>
      </x:c>
      <x:c r="E249" s="13" t="str">
        <x:v>spot_range_stress</x:v>
      </x:c>
      <x:c r="F249" s="40" t="n">
        <x:v>0</x:v>
      </x:c>
      <x:c r="G249" s="40" t="n">
        <x:v>0</x:v>
      </x:c>
      <x:c r="H249" s="42" t="n">
        <x:v>0.02688467407060888</x:v>
      </x:c>
      <x:c r="I249" s="17" t="n">
        <x:v>8928</x:v>
      </x:c>
    </x:row>
    <x:row r="250">
      <x:c r="A250" s="13" t="str">
        <x:v>5m_30d_plus_event_day_ibc_inbound_atom_to_spot_range_stress</x:v>
      </x:c>
      <x:c r="B250" s="13" t="str">
        <x:v>5m</x:v>
      </x:c>
      <x:c r="C250" s="13" t="str">
        <x:v>30d_plus_event_day</x:v>
      </x:c>
      <x:c r="D250" s="13" t="str">
        <x:v>ibc_inbound_atom</x:v>
      </x:c>
      <x:c r="E250" s="13" t="str">
        <x:v>spot_range_stress</x:v>
      </x:c>
      <x:c r="F250" s="40" t="n">
        <x:v>1</x:v>
      </x:c>
      <x:c r="G250" s="40" t="n">
        <x:v>5</x:v>
      </x:c>
      <x:c r="H250" s="42" t="n">
        <x:v>0.025060566205264406</x:v>
      </x:c>
      <x:c r="I250" s="17" t="n">
        <x:v>8927</x:v>
      </x:c>
    </x:row>
    <x:row r="251">
      <x:c r="A251" s="13" t="str">
        <x:v>5m_30d_plus_event_day_ibc_inbound_atom_to_spot_range_stress</x:v>
      </x:c>
      <x:c r="B251" s="13" t="str">
        <x:v>5m</x:v>
      </x:c>
      <x:c r="C251" s="13" t="str">
        <x:v>30d_plus_event_day</x:v>
      </x:c>
      <x:c r="D251" s="13" t="str">
        <x:v>ibc_inbound_atom</x:v>
      </x:c>
      <x:c r="E251" s="13" t="str">
        <x:v>spot_range_stress</x:v>
      </x:c>
      <x:c r="F251" s="40" t="n">
        <x:v>2</x:v>
      </x:c>
      <x:c r="G251" s="40" t="n">
        <x:v>10</x:v>
      </x:c>
      <x:c r="H251" s="42" t="n">
        <x:v>0.01342761998289591</x:v>
      </x:c>
      <x:c r="I251" s="17" t="n">
        <x:v>8926</x:v>
      </x:c>
    </x:row>
    <x:row r="252">
      <x:c r="A252" s="13" t="str">
        <x:v>5m_30d_plus_event_day_ibc_inbound_atom_to_spot_range_stress</x:v>
      </x:c>
      <x:c r="B252" s="13" t="str">
        <x:v>5m</x:v>
      </x:c>
      <x:c r="C252" s="13" t="str">
        <x:v>30d_plus_event_day</x:v>
      </x:c>
      <x:c r="D252" s="13" t="str">
        <x:v>ibc_inbound_atom</x:v>
      </x:c>
      <x:c r="E252" s="13" t="str">
        <x:v>spot_range_stress</x:v>
      </x:c>
      <x:c r="F252" s="40" t="n">
        <x:v>3</x:v>
      </x:c>
      <x:c r="G252" s="40" t="n">
        <x:v>15</x:v>
      </x:c>
      <x:c r="H252" s="42" t="n">
        <x:v>0.023246198993918464</x:v>
      </x:c>
      <x:c r="I252" s="17" t="n">
        <x:v>8925</x:v>
      </x:c>
    </x:row>
    <x:row r="253">
      <x:c r="A253" s="13" t="str">
        <x:v>5m_30d_plus_event_day_ibc_inbound_atom_to_spot_range_stress</x:v>
      </x:c>
      <x:c r="B253" s="13" t="str">
        <x:v>5m</x:v>
      </x:c>
      <x:c r="C253" s="13" t="str">
        <x:v>30d_plus_event_day</x:v>
      </x:c>
      <x:c r="D253" s="13" t="str">
        <x:v>ibc_inbound_atom</x:v>
      </x:c>
      <x:c r="E253" s="13" t="str">
        <x:v>spot_range_stress</x:v>
      </x:c>
      <x:c r="F253" s="40" t="n">
        <x:v>4</x:v>
      </x:c>
      <x:c r="G253" s="40" t="n">
        <x:v>20</x:v>
      </x:c>
      <x:c r="H253" s="42" t="n">
        <x:v>0.014526974045632824</x:v>
      </x:c>
      <x:c r="I253" s="17" t="n">
        <x:v>8924</x:v>
      </x:c>
    </x:row>
    <x:row r="254">
      <x:c r="A254" s="13" t="str">
        <x:v>5m_30d_plus_event_day_ibc_inbound_atom_to_spot_range_stress</x:v>
      </x:c>
      <x:c r="B254" s="13" t="str">
        <x:v>5m</x:v>
      </x:c>
      <x:c r="C254" s="13" t="str">
        <x:v>30d_plus_event_day</x:v>
      </x:c>
      <x:c r="D254" s="13" t="str">
        <x:v>ibc_inbound_atom</x:v>
      </x:c>
      <x:c r="E254" s="13" t="str">
        <x:v>spot_range_stress</x:v>
      </x:c>
      <x:c r="F254" s="40" t="n">
        <x:v>5</x:v>
      </x:c>
      <x:c r="G254" s="40" t="n">
        <x:v>25</x:v>
      </x:c>
      <x:c r="H254" s="42" t="n">
        <x:v>0.018406892744842814</x:v>
      </x:c>
      <x:c r="I254" s="17" t="n">
        <x:v>8923</x:v>
      </x:c>
    </x:row>
    <x:row r="255">
      <x:c r="A255" s="13" t="str">
        <x:v>5m_30d_plus_event_day_ibc_inbound_atom_to_spot_range_stress</x:v>
      </x:c>
      <x:c r="B255" s="13" t="str">
        <x:v>5m</x:v>
      </x:c>
      <x:c r="C255" s="13" t="str">
        <x:v>30d_plus_event_day</x:v>
      </x:c>
      <x:c r="D255" s="13" t="str">
        <x:v>ibc_inbound_atom</x:v>
      </x:c>
      <x:c r="E255" s="13" t="str">
        <x:v>spot_range_stress</x:v>
      </x:c>
      <x:c r="F255" s="40" t="n">
        <x:v>6</x:v>
      </x:c>
      <x:c r="G255" s="40" t="n">
        <x:v>30</x:v>
      </x:c>
      <x:c r="H255" s="42" t="n">
        <x:v>0.013424306926772083</x:v>
      </x:c>
      <x:c r="I255" s="17" t="n">
        <x:v>8922</x:v>
      </x:c>
    </x:row>
    <x:row r="256">
      <x:c r="A256" s="13" t="str">
        <x:v>5m_30d_plus_event_day_ibc_inbound_atom_to_spot_range_stress</x:v>
      </x:c>
      <x:c r="B256" s="13" t="str">
        <x:v>5m</x:v>
      </x:c>
      <x:c r="C256" s="13" t="str">
        <x:v>30d_plus_event_day</x:v>
      </x:c>
      <x:c r="D256" s="13" t="str">
        <x:v>ibc_inbound_atom</x:v>
      </x:c>
      <x:c r="E256" s="13" t="str">
        <x:v>spot_range_stress</x:v>
      </x:c>
      <x:c r="F256" s="40" t="n">
        <x:v>7</x:v>
      </x:c>
      <x:c r="G256" s="40" t="n">
        <x:v>35</x:v>
      </x:c>
      <x:c r="H256" s="42" t="n">
        <x:v>0.002312620491178425</x:v>
      </x:c>
      <x:c r="I256" s="17" t="n">
        <x:v>8921</x:v>
      </x:c>
    </x:row>
    <x:row r="257">
      <x:c r="A257" s="13" t="str">
        <x:v>5m_30d_plus_event_day_ibc_inbound_atom_to_spot_range_stress</x:v>
      </x:c>
      <x:c r="B257" s="13" t="str">
        <x:v>5m</x:v>
      </x:c>
      <x:c r="C257" s="13" t="str">
        <x:v>30d_plus_event_day</x:v>
      </x:c>
      <x:c r="D257" s="13" t="str">
        <x:v>ibc_inbound_atom</x:v>
      </x:c>
      <x:c r="E257" s="13" t="str">
        <x:v>spot_range_stress</x:v>
      </x:c>
      <x:c r="F257" s="40" t="n">
        <x:v>8</x:v>
      </x:c>
      <x:c r="G257" s="40" t="n">
        <x:v>40</x:v>
      </x:c>
      <x:c r="H257" s="42" t="n">
        <x:v>0.0039200228498966405</x:v>
      </x:c>
      <x:c r="I257" s="17" t="n">
        <x:v>8920</x:v>
      </x:c>
    </x:row>
    <x:row r="258">
      <x:c r="A258" s="13" t="str">
        <x:v>5m_30d_plus_event_day_ibc_inbound_atom_to_spot_range_stress</x:v>
      </x:c>
      <x:c r="B258" s="13" t="str">
        <x:v>5m</x:v>
      </x:c>
      <x:c r="C258" s="13" t="str">
        <x:v>30d_plus_event_day</x:v>
      </x:c>
      <x:c r="D258" s="13" t="str">
        <x:v>ibc_inbound_atom</x:v>
      </x:c>
      <x:c r="E258" s="13" t="str">
        <x:v>spot_range_stress</x:v>
      </x:c>
      <x:c r="F258" s="40" t="n">
        <x:v>9</x:v>
      </x:c>
      <x:c r="G258" s="40" t="n">
        <x:v>45</x:v>
      </x:c>
      <x:c r="H258" s="42" t="n">
        <x:v>0.011238176693130174</x:v>
      </x:c>
      <x:c r="I258" s="17" t="n">
        <x:v>8919</x:v>
      </x:c>
    </x:row>
    <x:row r="259">
      <x:c r="A259" s="13" t="str">
        <x:v>5m_30d_plus_event_day_ibc_inbound_atom_to_spot_range_stress</x:v>
      </x:c>
      <x:c r="B259" s="13" t="str">
        <x:v>5m</x:v>
      </x:c>
      <x:c r="C259" s="13" t="str">
        <x:v>30d_plus_event_day</x:v>
      </x:c>
      <x:c r="D259" s="13" t="str">
        <x:v>ibc_inbound_atom</x:v>
      </x:c>
      <x:c r="E259" s="13" t="str">
        <x:v>spot_range_stress</x:v>
      </x:c>
      <x:c r="F259" s="40" t="n">
        <x:v>10</x:v>
      </x:c>
      <x:c r="G259" s="40" t="n">
        <x:v>50</x:v>
      </x:c>
      <x:c r="H259" s="42" t="n">
        <x:v>0.005780083296703848</x:v>
      </x:c>
      <x:c r="I259" s="17" t="n">
        <x:v>8918</x:v>
      </x:c>
    </x:row>
    <x:row r="260">
      <x:c r="A260" s="13" t="str">
        <x:v>5m_30d_plus_event_day_ibc_inbound_atom_to_spot_range_stress</x:v>
      </x:c>
      <x:c r="B260" s="13" t="str">
        <x:v>5m</x:v>
      </x:c>
      <x:c r="C260" s="13" t="str">
        <x:v>30d_plus_event_day</x:v>
      </x:c>
      <x:c r="D260" s="13" t="str">
        <x:v>ibc_inbound_atom</x:v>
      </x:c>
      <x:c r="E260" s="13" t="str">
        <x:v>spot_range_stress</x:v>
      </x:c>
      <x:c r="F260" s="40" t="n">
        <x:v>11</x:v>
      </x:c>
      <x:c r="G260" s="40" t="n">
        <x:v>55</x:v>
      </x:c>
      <x:c r="H260" s="42" t="n">
        <x:v>0.014488139738446358</x:v>
      </x:c>
      <x:c r="I260" s="17" t="n">
        <x:v>8917</x:v>
      </x:c>
    </x:row>
    <x:row r="261">
      <x:c r="A261" s="13" t="str">
        <x:v>5m_30d_plus_event_day_ibc_inbound_atom_to_spot_range_stress</x:v>
      </x:c>
      <x:c r="B261" s="13" t="str">
        <x:v>5m</x:v>
      </x:c>
      <x:c r="C261" s="13" t="str">
        <x:v>30d_plus_event_day</x:v>
      </x:c>
      <x:c r="D261" s="13" t="str">
        <x:v>ibc_inbound_atom</x:v>
      </x:c>
      <x:c r="E261" s="13" t="str">
        <x:v>spot_range_stress</x:v>
      </x:c>
      <x:c r="F261" s="40" t="n">
        <x:v>12</x:v>
      </x:c>
      <x:c r="G261" s="40" t="n">
        <x:v>60</x:v>
      </x:c>
      <x:c r="H261" s="42" t="n">
        <x:v>0.01602451622996063</x:v>
      </x:c>
      <x:c r="I261" s="17" t="n">
        <x:v>8916</x:v>
      </x:c>
    </x:row>
    <x:row r="262">
      <x:c r="A262" s="13" t="str">
        <x:v>5m_30d_plus_event_day_ibc_outbound_atom_to_spot_range_stress</x:v>
      </x:c>
      <x:c r="B262" s="13" t="str">
        <x:v>5m</x:v>
      </x:c>
      <x:c r="C262" s="13" t="str">
        <x:v>30d_plus_event_day</x:v>
      </x:c>
      <x:c r="D262" s="13" t="str">
        <x:v>ibc_outbound_atom</x:v>
      </x:c>
      <x:c r="E262" s="13" t="str">
        <x:v>spot_range_stress</x:v>
      </x:c>
      <x:c r="F262" s="40" t="n">
        <x:v>-12</x:v>
      </x:c>
      <x:c r="G262" s="40" t="n">
        <x:v>-60</x:v>
      </x:c>
      <x:c r="H262" s="42" t="n">
        <x:v>0.037160898848821594</x:v>
      </x:c>
      <x:c r="I262" s="17" t="n">
        <x:v>8916</x:v>
      </x:c>
    </x:row>
    <x:row r="263">
      <x:c r="A263" s="13" t="str">
        <x:v>5m_30d_plus_event_day_ibc_outbound_atom_to_spot_range_stress</x:v>
      </x:c>
      <x:c r="B263" s="13" t="str">
        <x:v>5m</x:v>
      </x:c>
      <x:c r="C263" s="13" t="str">
        <x:v>30d_plus_event_day</x:v>
      </x:c>
      <x:c r="D263" s="13" t="str">
        <x:v>ibc_outbound_atom</x:v>
      </x:c>
      <x:c r="E263" s="13" t="str">
        <x:v>spot_range_stress</x:v>
      </x:c>
      <x:c r="F263" s="40" t="n">
        <x:v>-11</x:v>
      </x:c>
      <x:c r="G263" s="40" t="n">
        <x:v>-55</x:v>
      </x:c>
      <x:c r="H263" s="42" t="n">
        <x:v>0.03441566630352664</x:v>
      </x:c>
      <x:c r="I263" s="17" t="n">
        <x:v>8917</x:v>
      </x:c>
    </x:row>
    <x:row r="264">
      <x:c r="A264" s="13" t="str">
        <x:v>5m_30d_plus_event_day_ibc_outbound_atom_to_spot_range_stress</x:v>
      </x:c>
      <x:c r="B264" s="13" t="str">
        <x:v>5m</x:v>
      </x:c>
      <x:c r="C264" s="13" t="str">
        <x:v>30d_plus_event_day</x:v>
      </x:c>
      <x:c r="D264" s="13" t="str">
        <x:v>ibc_outbound_atom</x:v>
      </x:c>
      <x:c r="E264" s="13" t="str">
        <x:v>spot_range_stress</x:v>
      </x:c>
      <x:c r="F264" s="40" t="n">
        <x:v>-10</x:v>
      </x:c>
      <x:c r="G264" s="40" t="n">
        <x:v>-50</x:v>
      </x:c>
      <x:c r="H264" s="42" t="n">
        <x:v>0.03190620470736118</x:v>
      </x:c>
      <x:c r="I264" s="17" t="n">
        <x:v>8918</x:v>
      </x:c>
    </x:row>
    <x:row r="265">
      <x:c r="A265" s="13" t="str">
        <x:v>5m_30d_plus_event_day_ibc_outbound_atom_to_spot_range_stress</x:v>
      </x:c>
      <x:c r="B265" s="13" t="str">
        <x:v>5m</x:v>
      </x:c>
      <x:c r="C265" s="13" t="str">
        <x:v>30d_plus_event_day</x:v>
      </x:c>
      <x:c r="D265" s="13" t="str">
        <x:v>ibc_outbound_atom</x:v>
      </x:c>
      <x:c r="E265" s="13" t="str">
        <x:v>spot_range_stress</x:v>
      </x:c>
      <x:c r="F265" s="40" t="n">
        <x:v>-9</x:v>
      </x:c>
      <x:c r="G265" s="40" t="n">
        <x:v>-45</x:v>
      </x:c>
      <x:c r="H265" s="42" t="n">
        <x:v>0.03193202288913686</x:v>
      </x:c>
      <x:c r="I265" s="17" t="n">
        <x:v>8919</x:v>
      </x:c>
    </x:row>
    <x:row r="266">
      <x:c r="A266" s="13" t="str">
        <x:v>5m_30d_plus_event_day_ibc_outbound_atom_to_spot_range_stress</x:v>
      </x:c>
      <x:c r="B266" s="13" t="str">
        <x:v>5m</x:v>
      </x:c>
      <x:c r="C266" s="13" t="str">
        <x:v>30d_plus_event_day</x:v>
      </x:c>
      <x:c r="D266" s="13" t="str">
        <x:v>ibc_outbound_atom</x:v>
      </x:c>
      <x:c r="E266" s="13" t="str">
        <x:v>spot_range_stress</x:v>
      </x:c>
      <x:c r="F266" s="40" t="n">
        <x:v>-8</x:v>
      </x:c>
      <x:c r="G266" s="40" t="n">
        <x:v>-40</x:v>
      </x:c>
      <x:c r="H266" s="42" t="n">
        <x:v>0.033195154073337556</x:v>
      </x:c>
      <x:c r="I266" s="17" t="n">
        <x:v>8920</x:v>
      </x:c>
    </x:row>
    <x:row r="267">
      <x:c r="A267" s="13" t="str">
        <x:v>5m_30d_plus_event_day_ibc_outbound_atom_to_spot_range_stress</x:v>
      </x:c>
      <x:c r="B267" s="13" t="str">
        <x:v>5m</x:v>
      </x:c>
      <x:c r="C267" s="13" t="str">
        <x:v>30d_plus_event_day</x:v>
      </x:c>
      <x:c r="D267" s="13" t="str">
        <x:v>ibc_outbound_atom</x:v>
      </x:c>
      <x:c r="E267" s="13" t="str">
        <x:v>spot_range_stress</x:v>
      </x:c>
      <x:c r="F267" s="40" t="n">
        <x:v>-7</x:v>
      </x:c>
      <x:c r="G267" s="40" t="n">
        <x:v>-35</x:v>
      </x:c>
      <x:c r="H267" s="42" t="n">
        <x:v>0.029888154728896475</x:v>
      </x:c>
      <x:c r="I267" s="17" t="n">
        <x:v>8921</x:v>
      </x:c>
    </x:row>
    <x:row r="268">
      <x:c r="A268" s="13" t="str">
        <x:v>5m_30d_plus_event_day_ibc_outbound_atom_to_spot_range_stress</x:v>
      </x:c>
      <x:c r="B268" s="13" t="str">
        <x:v>5m</x:v>
      </x:c>
      <x:c r="C268" s="13" t="str">
        <x:v>30d_plus_event_day</x:v>
      </x:c>
      <x:c r="D268" s="13" t="str">
        <x:v>ibc_outbound_atom</x:v>
      </x:c>
      <x:c r="E268" s="13" t="str">
        <x:v>spot_range_stress</x:v>
      </x:c>
      <x:c r="F268" s="40" t="n">
        <x:v>-6</x:v>
      </x:c>
      <x:c r="G268" s="40" t="n">
        <x:v>-30</x:v>
      </x:c>
      <x:c r="H268" s="42" t="n">
        <x:v>0.03530556601317245</x:v>
      </x:c>
      <x:c r="I268" s="17" t="n">
        <x:v>8922</x:v>
      </x:c>
    </x:row>
    <x:row r="269">
      <x:c r="A269" s="13" t="str">
        <x:v>5m_30d_plus_event_day_ibc_outbound_atom_to_spot_range_stress</x:v>
      </x:c>
      <x:c r="B269" s="13" t="str">
        <x:v>5m</x:v>
      </x:c>
      <x:c r="C269" s="13" t="str">
        <x:v>30d_plus_event_day</x:v>
      </x:c>
      <x:c r="D269" s="13" t="str">
        <x:v>ibc_outbound_atom</x:v>
      </x:c>
      <x:c r="E269" s="13" t="str">
        <x:v>spot_range_stress</x:v>
      </x:c>
      <x:c r="F269" s="40" t="n">
        <x:v>-5</x:v>
      </x:c>
      <x:c r="G269" s="40" t="n">
        <x:v>-25</x:v>
      </x:c>
      <x:c r="H269" s="42" t="n">
        <x:v>0.03351682232173964</x:v>
      </x:c>
      <x:c r="I269" s="17" t="n">
        <x:v>8923</x:v>
      </x:c>
    </x:row>
    <x:row r="270">
      <x:c r="A270" s="13" t="str">
        <x:v>5m_30d_plus_event_day_ibc_outbound_atom_to_spot_range_stress</x:v>
      </x:c>
      <x:c r="B270" s="13" t="str">
        <x:v>5m</x:v>
      </x:c>
      <x:c r="C270" s="13" t="str">
        <x:v>30d_plus_event_day</x:v>
      </x:c>
      <x:c r="D270" s="13" t="str">
        <x:v>ibc_outbound_atom</x:v>
      </x:c>
      <x:c r="E270" s="13" t="str">
        <x:v>spot_range_stress</x:v>
      </x:c>
      <x:c r="F270" s="40" t="n">
        <x:v>-4</x:v>
      </x:c>
      <x:c r="G270" s="40" t="n">
        <x:v>-20</x:v>
      </x:c>
      <x:c r="H270" s="42" t="n">
        <x:v>0.04278165763960304</x:v>
      </x:c>
      <x:c r="I270" s="17" t="n">
        <x:v>8924</x:v>
      </x:c>
    </x:row>
    <x:row r="271">
      <x:c r="A271" s="13" t="str">
        <x:v>5m_30d_plus_event_day_ibc_outbound_atom_to_spot_range_stress</x:v>
      </x:c>
      <x:c r="B271" s="13" t="str">
        <x:v>5m</x:v>
      </x:c>
      <x:c r="C271" s="13" t="str">
        <x:v>30d_plus_event_day</x:v>
      </x:c>
      <x:c r="D271" s="13" t="str">
        <x:v>ibc_outbound_atom</x:v>
      </x:c>
      <x:c r="E271" s="13" t="str">
        <x:v>spot_range_stress</x:v>
      </x:c>
      <x:c r="F271" s="40" t="n">
        <x:v>-3</x:v>
      </x:c>
      <x:c r="G271" s="40" t="n">
        <x:v>-15</x:v>
      </x:c>
      <x:c r="H271" s="42" t="n">
        <x:v>0.027068096766514897</x:v>
      </x:c>
      <x:c r="I271" s="17" t="n">
        <x:v>8925</x:v>
      </x:c>
    </x:row>
    <x:row r="272">
      <x:c r="A272" s="13" t="str">
        <x:v>5m_30d_plus_event_day_ibc_outbound_atom_to_spot_range_stress</x:v>
      </x:c>
      <x:c r="B272" s="13" t="str">
        <x:v>5m</x:v>
      </x:c>
      <x:c r="C272" s="13" t="str">
        <x:v>30d_plus_event_day</x:v>
      </x:c>
      <x:c r="D272" s="13" t="str">
        <x:v>ibc_outbound_atom</x:v>
      </x:c>
      <x:c r="E272" s="13" t="str">
        <x:v>spot_range_stress</x:v>
      </x:c>
      <x:c r="F272" s="40" t="n">
        <x:v>-2</x:v>
      </x:c>
      <x:c r="G272" s="40" t="n">
        <x:v>-10</x:v>
      </x:c>
      <x:c r="H272" s="42" t="n">
        <x:v>0.0250774064391162</x:v>
      </x:c>
      <x:c r="I272" s="17" t="n">
        <x:v>8926</x:v>
      </x:c>
    </x:row>
    <x:row r="273">
      <x:c r="A273" s="13" t="str">
        <x:v>5m_30d_plus_event_day_ibc_outbound_atom_to_spot_range_stress</x:v>
      </x:c>
      <x:c r="B273" s="13" t="str">
        <x:v>5m</x:v>
      </x:c>
      <x:c r="C273" s="13" t="str">
        <x:v>30d_plus_event_day</x:v>
      </x:c>
      <x:c r="D273" s="13" t="str">
        <x:v>ibc_outbound_atom</x:v>
      </x:c>
      <x:c r="E273" s="13" t="str">
        <x:v>spot_range_stress</x:v>
      </x:c>
      <x:c r="F273" s="40" t="n">
        <x:v>-1</x:v>
      </x:c>
      <x:c r="G273" s="40" t="n">
        <x:v>-5</x:v>
      </x:c>
      <x:c r="H273" s="42" t="n">
        <x:v>0.027135066848493528</x:v>
      </x:c>
      <x:c r="I273" s="17" t="n">
        <x:v>8927</x:v>
      </x:c>
    </x:row>
    <x:row r="274">
      <x:c r="A274" s="13" t="str">
        <x:v>5m_30d_plus_event_day_ibc_outbound_atom_to_spot_range_stress</x:v>
      </x:c>
      <x:c r="B274" s="13" t="str">
        <x:v>5m</x:v>
      </x:c>
      <x:c r="C274" s="13" t="str">
        <x:v>30d_plus_event_day</x:v>
      </x:c>
      <x:c r="D274" s="13" t="str">
        <x:v>ibc_outbound_atom</x:v>
      </x:c>
      <x:c r="E274" s="13" t="str">
        <x:v>spot_range_stress</x:v>
      </x:c>
      <x:c r="F274" s="40" t="n">
        <x:v>0</x:v>
      </x:c>
      <x:c r="G274" s="40" t="n">
        <x:v>0</x:v>
      </x:c>
      <x:c r="H274" s="42" t="n">
        <x:v>0.03384526091610979</x:v>
      </x:c>
      <x:c r="I274" s="17" t="n">
        <x:v>8928</x:v>
      </x:c>
    </x:row>
    <x:row r="275">
      <x:c r="A275" s="13" t="str">
        <x:v>5m_30d_plus_event_day_ibc_outbound_atom_to_spot_range_stress</x:v>
      </x:c>
      <x:c r="B275" s="13" t="str">
        <x:v>5m</x:v>
      </x:c>
      <x:c r="C275" s="13" t="str">
        <x:v>30d_plus_event_day</x:v>
      </x:c>
      <x:c r="D275" s="13" t="str">
        <x:v>ibc_outbound_atom</x:v>
      </x:c>
      <x:c r="E275" s="13" t="str">
        <x:v>spot_range_stress</x:v>
      </x:c>
      <x:c r="F275" s="40" t="n">
        <x:v>1</x:v>
      </x:c>
      <x:c r="G275" s="40" t="n">
        <x:v>5</x:v>
      </x:c>
      <x:c r="H275" s="42" t="n">
        <x:v>0.03401867986540448</x:v>
      </x:c>
      <x:c r="I275" s="17" t="n">
        <x:v>8927</x:v>
      </x:c>
    </x:row>
    <x:row r="276">
      <x:c r="A276" s="13" t="str">
        <x:v>5m_30d_plus_event_day_ibc_outbound_atom_to_spot_range_stress</x:v>
      </x:c>
      <x:c r="B276" s="13" t="str">
        <x:v>5m</x:v>
      </x:c>
      <x:c r="C276" s="13" t="str">
        <x:v>30d_plus_event_day</x:v>
      </x:c>
      <x:c r="D276" s="13" t="str">
        <x:v>ibc_outbound_atom</x:v>
      </x:c>
      <x:c r="E276" s="13" t="str">
        <x:v>spot_range_stress</x:v>
      </x:c>
      <x:c r="F276" s="40" t="n">
        <x:v>2</x:v>
      </x:c>
      <x:c r="G276" s="40" t="n">
        <x:v>10</x:v>
      </x:c>
      <x:c r="H276" s="42" t="n">
        <x:v>0.02645791435172784</x:v>
      </x:c>
      <x:c r="I276" s="17" t="n">
        <x:v>8926</x:v>
      </x:c>
    </x:row>
    <x:row r="277">
      <x:c r="A277" s="13" t="str">
        <x:v>5m_30d_plus_event_day_ibc_outbound_atom_to_spot_range_stress</x:v>
      </x:c>
      <x:c r="B277" s="13" t="str">
        <x:v>5m</x:v>
      </x:c>
      <x:c r="C277" s="13" t="str">
        <x:v>30d_plus_event_day</x:v>
      </x:c>
      <x:c r="D277" s="13" t="str">
        <x:v>ibc_outbound_atom</x:v>
      </x:c>
      <x:c r="E277" s="13" t="str">
        <x:v>spot_range_stress</x:v>
      </x:c>
      <x:c r="F277" s="40" t="n">
        <x:v>3</x:v>
      </x:c>
      <x:c r="G277" s="40" t="n">
        <x:v>15</x:v>
      </x:c>
      <x:c r="H277" s="42" t="n">
        <x:v>0.028564950734328014</x:v>
      </x:c>
      <x:c r="I277" s="17" t="n">
        <x:v>8925</x:v>
      </x:c>
    </x:row>
    <x:row r="278">
      <x:c r="A278" s="13" t="str">
        <x:v>5m_30d_plus_event_day_ibc_outbound_atom_to_spot_range_stress</x:v>
      </x:c>
      <x:c r="B278" s="13" t="str">
        <x:v>5m</x:v>
      </x:c>
      <x:c r="C278" s="13" t="str">
        <x:v>30d_plus_event_day</x:v>
      </x:c>
      <x:c r="D278" s="13" t="str">
        <x:v>ibc_outbound_atom</x:v>
      </x:c>
      <x:c r="E278" s="13" t="str">
        <x:v>spot_range_stress</x:v>
      </x:c>
      <x:c r="F278" s="40" t="n">
        <x:v>4</x:v>
      </x:c>
      <x:c r="G278" s="40" t="n">
        <x:v>20</x:v>
      </x:c>
      <x:c r="H278" s="42" t="n">
        <x:v>0.024462923708997386</x:v>
      </x:c>
      <x:c r="I278" s="17" t="n">
        <x:v>8924</x:v>
      </x:c>
    </x:row>
    <x:row r="279">
      <x:c r="A279" s="13" t="str">
        <x:v>5m_30d_plus_event_day_ibc_outbound_atom_to_spot_range_stress</x:v>
      </x:c>
      <x:c r="B279" s="13" t="str">
        <x:v>5m</x:v>
      </x:c>
      <x:c r="C279" s="13" t="str">
        <x:v>30d_plus_event_day</x:v>
      </x:c>
      <x:c r="D279" s="13" t="str">
        <x:v>ibc_outbound_atom</x:v>
      </x:c>
      <x:c r="E279" s="13" t="str">
        <x:v>spot_range_stress</x:v>
      </x:c>
      <x:c r="F279" s="40" t="n">
        <x:v>5</x:v>
      </x:c>
      <x:c r="G279" s="40" t="n">
        <x:v>25</x:v>
      </x:c>
      <x:c r="H279" s="42" t="n">
        <x:v>0.02778131263731327</x:v>
      </x:c>
      <x:c r="I279" s="17" t="n">
        <x:v>8923</x:v>
      </x:c>
    </x:row>
    <x:row r="280">
      <x:c r="A280" s="13" t="str">
        <x:v>5m_30d_plus_event_day_ibc_outbound_atom_to_spot_range_stress</x:v>
      </x:c>
      <x:c r="B280" s="13" t="str">
        <x:v>5m</x:v>
      </x:c>
      <x:c r="C280" s="13" t="str">
        <x:v>30d_plus_event_day</x:v>
      </x:c>
      <x:c r="D280" s="13" t="str">
        <x:v>ibc_outbound_atom</x:v>
      </x:c>
      <x:c r="E280" s="13" t="str">
        <x:v>spot_range_stress</x:v>
      </x:c>
      <x:c r="F280" s="40" t="n">
        <x:v>6</x:v>
      </x:c>
      <x:c r="G280" s="40" t="n">
        <x:v>30</x:v>
      </x:c>
      <x:c r="H280" s="42" t="n">
        <x:v>0.025675944038171566</x:v>
      </x:c>
      <x:c r="I280" s="17" t="n">
        <x:v>8922</x:v>
      </x:c>
    </x:row>
    <x:row r="281">
      <x:c r="A281" s="13" t="str">
        <x:v>5m_30d_plus_event_day_ibc_outbound_atom_to_spot_range_stress</x:v>
      </x:c>
      <x:c r="B281" s="13" t="str">
        <x:v>5m</x:v>
      </x:c>
      <x:c r="C281" s="13" t="str">
        <x:v>30d_plus_event_day</x:v>
      </x:c>
      <x:c r="D281" s="13" t="str">
        <x:v>ibc_outbound_atom</x:v>
      </x:c>
      <x:c r="E281" s="13" t="str">
        <x:v>spot_range_stress</x:v>
      </x:c>
      <x:c r="F281" s="40" t="n">
        <x:v>7</x:v>
      </x:c>
      <x:c r="G281" s="40" t="n">
        <x:v>35</x:v>
      </x:c>
      <x:c r="H281" s="42" t="n">
        <x:v>-0.0011918544448660002</x:v>
      </x:c>
      <x:c r="I281" s="17" t="n">
        <x:v>8921</x:v>
      </x:c>
    </x:row>
    <x:row r="282">
      <x:c r="A282" s="13" t="str">
        <x:v>5m_30d_plus_event_day_ibc_outbound_atom_to_spot_range_stress</x:v>
      </x:c>
      <x:c r="B282" s="13" t="str">
        <x:v>5m</x:v>
      </x:c>
      <x:c r="C282" s="13" t="str">
        <x:v>30d_plus_event_day</x:v>
      </x:c>
      <x:c r="D282" s="13" t="str">
        <x:v>ibc_outbound_atom</x:v>
      </x:c>
      <x:c r="E282" s="13" t="str">
        <x:v>spot_range_stress</x:v>
      </x:c>
      <x:c r="F282" s="40" t="n">
        <x:v>8</x:v>
      </x:c>
      <x:c r="G282" s="40" t="n">
        <x:v>40</x:v>
      </x:c>
      <x:c r="H282" s="42" t="n">
        <x:v>0.004617758269278762</x:v>
      </x:c>
      <x:c r="I282" s="17" t="n">
        <x:v>8920</x:v>
      </x:c>
    </x:row>
    <x:row r="283">
      <x:c r="A283" s="13" t="str">
        <x:v>5m_30d_plus_event_day_ibc_outbound_atom_to_spot_range_stress</x:v>
      </x:c>
      <x:c r="B283" s="13" t="str">
        <x:v>5m</x:v>
      </x:c>
      <x:c r="C283" s="13" t="str">
        <x:v>30d_plus_event_day</x:v>
      </x:c>
      <x:c r="D283" s="13" t="str">
        <x:v>ibc_outbound_atom</x:v>
      </x:c>
      <x:c r="E283" s="13" t="str">
        <x:v>spot_range_stress</x:v>
      </x:c>
      <x:c r="F283" s="40" t="n">
        <x:v>9</x:v>
      </x:c>
      <x:c r="G283" s="40" t="n">
        <x:v>45</x:v>
      </x:c>
      <x:c r="H283" s="42" t="n">
        <x:v>0.01753422846195656</x:v>
      </x:c>
      <x:c r="I283" s="17" t="n">
        <x:v>8919</x:v>
      </x:c>
    </x:row>
    <x:row r="284">
      <x:c r="A284" s="13" t="str">
        <x:v>5m_30d_plus_event_day_ibc_outbound_atom_to_spot_range_stress</x:v>
      </x:c>
      <x:c r="B284" s="13" t="str">
        <x:v>5m</x:v>
      </x:c>
      <x:c r="C284" s="13" t="str">
        <x:v>30d_plus_event_day</x:v>
      </x:c>
      <x:c r="D284" s="13" t="str">
        <x:v>ibc_outbound_atom</x:v>
      </x:c>
      <x:c r="E284" s="13" t="str">
        <x:v>spot_range_stress</x:v>
      </x:c>
      <x:c r="F284" s="40" t="n">
        <x:v>10</x:v>
      </x:c>
      <x:c r="G284" s="40" t="n">
        <x:v>50</x:v>
      </x:c>
      <x:c r="H284" s="42" t="n">
        <x:v>-0.0015534595576472464</x:v>
      </x:c>
      <x:c r="I284" s="17" t="n">
        <x:v>8918</x:v>
      </x:c>
    </x:row>
    <x:row r="285">
      <x:c r="A285" s="13" t="str">
        <x:v>5m_30d_plus_event_day_ibc_outbound_atom_to_spot_range_stress</x:v>
      </x:c>
      <x:c r="B285" s="13" t="str">
        <x:v>5m</x:v>
      </x:c>
      <x:c r="C285" s="13" t="str">
        <x:v>30d_plus_event_day</x:v>
      </x:c>
      <x:c r="D285" s="13" t="str">
        <x:v>ibc_outbound_atom</x:v>
      </x:c>
      <x:c r="E285" s="13" t="str">
        <x:v>spot_range_stress</x:v>
      </x:c>
      <x:c r="F285" s="40" t="n">
        <x:v>11</x:v>
      </x:c>
      <x:c r="G285" s="40" t="n">
        <x:v>55</x:v>
      </x:c>
      <x:c r="H285" s="42" t="n">
        <x:v>0.0048491695955225084</x:v>
      </x:c>
      <x:c r="I285" s="17" t="n">
        <x:v>8917</x:v>
      </x:c>
    </x:row>
    <x:row r="286">
      <x:c r="A286" s="13" t="str">
        <x:v>5m_30d_plus_event_day_ibc_outbound_atom_to_spot_range_stress</x:v>
      </x:c>
      <x:c r="B286" s="13" t="str">
        <x:v>5m</x:v>
      </x:c>
      <x:c r="C286" s="13" t="str">
        <x:v>30d_plus_event_day</x:v>
      </x:c>
      <x:c r="D286" s="13" t="str">
        <x:v>ibc_outbound_atom</x:v>
      </x:c>
      <x:c r="E286" s="13" t="str">
        <x:v>spot_range_stress</x:v>
      </x:c>
      <x:c r="F286" s="40" t="n">
        <x:v>12</x:v>
      </x:c>
      <x:c r="G286" s="40" t="n">
        <x:v>60</x:v>
      </x:c>
      <x:c r="H286" s="42" t="n">
        <x:v>0.011423777729247905</x:v>
      </x:c>
      <x:c r="I286" s="17" t="n">
        <x:v>8916</x:v>
      </x:c>
    </x:row>
    <x:row r="287">
      <x:c r="A287" s="13" t="str">
        <x:v>5m_30d_plus_event_day_ibc_net_inbound_atom_to_spot_return</x:v>
      </x:c>
      <x:c r="B287" s="13" t="str">
        <x:v>5m</x:v>
      </x:c>
      <x:c r="C287" s="13" t="str">
        <x:v>30d_plus_event_day</x:v>
      </x:c>
      <x:c r="D287" s="13" t="str">
        <x:v>ibc_net_inbound_atom</x:v>
      </x:c>
      <x:c r="E287" s="13" t="str">
        <x:v>spot_return</x:v>
      </x:c>
      <x:c r="F287" s="40" t="n">
        <x:v>-12</x:v>
      </x:c>
      <x:c r="G287" s="40" t="n">
        <x:v>-60</x:v>
      </x:c>
      <x:c r="H287" s="42" t="n">
        <x:v>0.006649240573070573</x:v>
      </x:c>
      <x:c r="I287" s="17" t="n">
        <x:v>8916</x:v>
      </x:c>
    </x:row>
    <x:row r="288">
      <x:c r="A288" s="13" t="str">
        <x:v>5m_30d_plus_event_day_ibc_net_inbound_atom_to_spot_return</x:v>
      </x:c>
      <x:c r="B288" s="13" t="str">
        <x:v>5m</x:v>
      </x:c>
      <x:c r="C288" s="13" t="str">
        <x:v>30d_plus_event_day</x:v>
      </x:c>
      <x:c r="D288" s="13" t="str">
        <x:v>ibc_net_inbound_atom</x:v>
      </x:c>
      <x:c r="E288" s="13" t="str">
        <x:v>spot_return</x:v>
      </x:c>
      <x:c r="F288" s="40" t="n">
        <x:v>-11</x:v>
      </x:c>
      <x:c r="G288" s="40" t="n">
        <x:v>-55</x:v>
      </x:c>
      <x:c r="H288" s="42" t="n">
        <x:v>-0.00003063098834970336</x:v>
      </x:c>
      <x:c r="I288" s="17" t="n">
        <x:v>8917</x:v>
      </x:c>
    </x:row>
    <x:row r="289">
      <x:c r="A289" s="13" t="str">
        <x:v>5m_30d_plus_event_day_ibc_net_inbound_atom_to_spot_return</x:v>
      </x:c>
      <x:c r="B289" s="13" t="str">
        <x:v>5m</x:v>
      </x:c>
      <x:c r="C289" s="13" t="str">
        <x:v>30d_plus_event_day</x:v>
      </x:c>
      <x:c r="D289" s="13" t="str">
        <x:v>ibc_net_inbound_atom</x:v>
      </x:c>
      <x:c r="E289" s="13" t="str">
        <x:v>spot_return</x:v>
      </x:c>
      <x:c r="F289" s="40" t="n">
        <x:v>-10</x:v>
      </x:c>
      <x:c r="G289" s="40" t="n">
        <x:v>-50</x:v>
      </x:c>
      <x:c r="H289" s="42" t="n">
        <x:v>-0.018572444029987947</x:v>
      </x:c>
      <x:c r="I289" s="17" t="n">
        <x:v>8918</x:v>
      </x:c>
    </x:row>
    <x:row r="290">
      <x:c r="A290" s="13" t="str">
        <x:v>5m_30d_plus_event_day_ibc_net_inbound_atom_to_spot_return</x:v>
      </x:c>
      <x:c r="B290" s="13" t="str">
        <x:v>5m</x:v>
      </x:c>
      <x:c r="C290" s="13" t="str">
        <x:v>30d_plus_event_day</x:v>
      </x:c>
      <x:c r="D290" s="13" t="str">
        <x:v>ibc_net_inbound_atom</x:v>
      </x:c>
      <x:c r="E290" s="13" t="str">
        <x:v>spot_return</x:v>
      </x:c>
      <x:c r="F290" s="40" t="n">
        <x:v>-9</x:v>
      </x:c>
      <x:c r="G290" s="40" t="n">
        <x:v>-45</x:v>
      </x:c>
      <x:c r="H290" s="42" t="n">
        <x:v>-0.019192947000759093</x:v>
      </x:c>
      <x:c r="I290" s="17" t="n">
        <x:v>8919</x:v>
      </x:c>
    </x:row>
    <x:row r="291">
      <x:c r="A291" s="13" t="str">
        <x:v>5m_30d_plus_event_day_ibc_net_inbound_atom_to_spot_return</x:v>
      </x:c>
      <x:c r="B291" s="13" t="str">
        <x:v>5m</x:v>
      </x:c>
      <x:c r="C291" s="13" t="str">
        <x:v>30d_plus_event_day</x:v>
      </x:c>
      <x:c r="D291" s="13" t="str">
        <x:v>ibc_net_inbound_atom</x:v>
      </x:c>
      <x:c r="E291" s="13" t="str">
        <x:v>spot_return</x:v>
      </x:c>
      <x:c r="F291" s="40" t="n">
        <x:v>-8</x:v>
      </x:c>
      <x:c r="G291" s="40" t="n">
        <x:v>-40</x:v>
      </x:c>
      <x:c r="H291" s="42" t="n">
        <x:v>-0.006172464097191199</x:v>
      </x:c>
      <x:c r="I291" s="17" t="n">
        <x:v>8920</x:v>
      </x:c>
    </x:row>
    <x:row r="292">
      <x:c r="A292" s="13" t="str">
        <x:v>5m_30d_plus_event_day_ibc_net_inbound_atom_to_spot_return</x:v>
      </x:c>
      <x:c r="B292" s="13" t="str">
        <x:v>5m</x:v>
      </x:c>
      <x:c r="C292" s="13" t="str">
        <x:v>30d_plus_event_day</x:v>
      </x:c>
      <x:c r="D292" s="13" t="str">
        <x:v>ibc_net_inbound_atom</x:v>
      </x:c>
      <x:c r="E292" s="13" t="str">
        <x:v>spot_return</x:v>
      </x:c>
      <x:c r="F292" s="40" t="n">
        <x:v>-7</x:v>
      </x:c>
      <x:c r="G292" s="40" t="n">
        <x:v>-35</x:v>
      </x:c>
      <x:c r="H292" s="42" t="n">
        <x:v>0.03185154047250603</x:v>
      </x:c>
      <x:c r="I292" s="17" t="n">
        <x:v>8921</x:v>
      </x:c>
    </x:row>
    <x:row r="293">
      <x:c r="A293" s="13" t="str">
        <x:v>5m_30d_plus_event_day_ibc_net_inbound_atom_to_spot_return</x:v>
      </x:c>
      <x:c r="B293" s="13" t="str">
        <x:v>5m</x:v>
      </x:c>
      <x:c r="C293" s="13" t="str">
        <x:v>30d_plus_event_day</x:v>
      </x:c>
      <x:c r="D293" s="13" t="str">
        <x:v>ibc_net_inbound_atom</x:v>
      </x:c>
      <x:c r="E293" s="13" t="str">
        <x:v>spot_return</x:v>
      </x:c>
      <x:c r="F293" s="40" t="n">
        <x:v>-6</x:v>
      </x:c>
      <x:c r="G293" s="40" t="n">
        <x:v>-30</x:v>
      </x:c>
      <x:c r="H293" s="42" t="n">
        <x:v>0.05129215728510926</x:v>
      </x:c>
      <x:c r="I293" s="17" t="n">
        <x:v>8922</x:v>
      </x:c>
    </x:row>
    <x:row r="294">
      <x:c r="A294" s="13" t="str">
        <x:v>5m_30d_plus_event_day_ibc_net_inbound_atom_to_spot_return</x:v>
      </x:c>
      <x:c r="B294" s="13" t="str">
        <x:v>5m</x:v>
      </x:c>
      <x:c r="C294" s="13" t="str">
        <x:v>30d_plus_event_day</x:v>
      </x:c>
      <x:c r="D294" s="13" t="str">
        <x:v>ibc_net_inbound_atom</x:v>
      </x:c>
      <x:c r="E294" s="13" t="str">
        <x:v>spot_return</x:v>
      </x:c>
      <x:c r="F294" s="40" t="n">
        <x:v>-5</x:v>
      </x:c>
      <x:c r="G294" s="40" t="n">
        <x:v>-25</x:v>
      </x:c>
      <x:c r="H294" s="42" t="n">
        <x:v>0.04443362067580584</x:v>
      </x:c>
      <x:c r="I294" s="17" t="n">
        <x:v>8923</x:v>
      </x:c>
    </x:row>
    <x:row r="295">
      <x:c r="A295" s="13" t="str">
        <x:v>5m_30d_plus_event_day_ibc_net_inbound_atom_to_spot_return</x:v>
      </x:c>
      <x:c r="B295" s="13" t="str">
        <x:v>5m</x:v>
      </x:c>
      <x:c r="C295" s="13" t="str">
        <x:v>30d_plus_event_day</x:v>
      </x:c>
      <x:c r="D295" s="13" t="str">
        <x:v>ibc_net_inbound_atom</x:v>
      </x:c>
      <x:c r="E295" s="13" t="str">
        <x:v>spot_return</x:v>
      </x:c>
      <x:c r="F295" s="40" t="n">
        <x:v>-4</x:v>
      </x:c>
      <x:c r="G295" s="40" t="n">
        <x:v>-20</x:v>
      </x:c>
      <x:c r="H295" s="42" t="n">
        <x:v>0.014540501373799477</x:v>
      </x:c>
      <x:c r="I295" s="17" t="n">
        <x:v>8924</x:v>
      </x:c>
    </x:row>
    <x:row r="296">
      <x:c r="A296" s="13" t="str">
        <x:v>5m_30d_plus_event_day_ibc_net_inbound_atom_to_spot_return</x:v>
      </x:c>
      <x:c r="B296" s="13" t="str">
        <x:v>5m</x:v>
      </x:c>
      <x:c r="C296" s="13" t="str">
        <x:v>30d_plus_event_day</x:v>
      </x:c>
      <x:c r="D296" s="13" t="str">
        <x:v>ibc_net_inbound_atom</x:v>
      </x:c>
      <x:c r="E296" s="13" t="str">
        <x:v>spot_return</x:v>
      </x:c>
      <x:c r="F296" s="40" t="n">
        <x:v>-3</x:v>
      </x:c>
      <x:c r="G296" s="40" t="n">
        <x:v>-15</x:v>
      </x:c>
      <x:c r="H296" s="42" t="n">
        <x:v>0.024535799846630797</x:v>
      </x:c>
      <x:c r="I296" s="17" t="n">
        <x:v>8925</x:v>
      </x:c>
    </x:row>
    <x:row r="297">
      <x:c r="A297" s="13" t="str">
        <x:v>5m_30d_plus_event_day_ibc_net_inbound_atom_to_spot_return</x:v>
      </x:c>
      <x:c r="B297" s="13" t="str">
        <x:v>5m</x:v>
      </x:c>
      <x:c r="C297" s="13" t="str">
        <x:v>30d_plus_event_day</x:v>
      </x:c>
      <x:c r="D297" s="13" t="str">
        <x:v>ibc_net_inbound_atom</x:v>
      </x:c>
      <x:c r="E297" s="13" t="str">
        <x:v>spot_return</x:v>
      </x:c>
      <x:c r="F297" s="40" t="n">
        <x:v>-2</x:v>
      </x:c>
      <x:c r="G297" s="40" t="n">
        <x:v>-10</x:v>
      </x:c>
      <x:c r="H297" s="42" t="n">
        <x:v>0.009205806016637303</x:v>
      </x:c>
      <x:c r="I297" s="17" t="n">
        <x:v>8926</x:v>
      </x:c>
    </x:row>
    <x:row r="298">
      <x:c r="A298" s="13" t="str">
        <x:v>5m_30d_plus_event_day_ibc_net_inbound_atom_to_spot_return</x:v>
      </x:c>
      <x:c r="B298" s="13" t="str">
        <x:v>5m</x:v>
      </x:c>
      <x:c r="C298" s="13" t="str">
        <x:v>30d_plus_event_day</x:v>
      </x:c>
      <x:c r="D298" s="13" t="str">
        <x:v>ibc_net_inbound_atom</x:v>
      </x:c>
      <x:c r="E298" s="13" t="str">
        <x:v>spot_return</x:v>
      </x:c>
      <x:c r="F298" s="40" t="n">
        <x:v>-1</x:v>
      </x:c>
      <x:c r="G298" s="40" t="n">
        <x:v>-5</x:v>
      </x:c>
      <x:c r="H298" s="42" t="n">
        <x:v>0.06597456875951058</x:v>
      </x:c>
      <x:c r="I298" s="17" t="n">
        <x:v>8927</x:v>
      </x:c>
    </x:row>
    <x:row r="299">
      <x:c r="A299" s="13" t="str">
        <x:v>5m_30d_plus_event_day_ibc_net_inbound_atom_to_spot_return</x:v>
      </x:c>
      <x:c r="B299" s="13" t="str">
        <x:v>5m</x:v>
      </x:c>
      <x:c r="C299" s="13" t="str">
        <x:v>30d_plus_event_day</x:v>
      </x:c>
      <x:c r="D299" s="13" t="str">
        <x:v>ibc_net_inbound_atom</x:v>
      </x:c>
      <x:c r="E299" s="13" t="str">
        <x:v>spot_return</x:v>
      </x:c>
      <x:c r="F299" s="40" t="n">
        <x:v>0</x:v>
      </x:c>
      <x:c r="G299" s="40" t="n">
        <x:v>0</x:v>
      </x:c>
      <x:c r="H299" s="42" t="n">
        <x:v>0.06337255176349203</x:v>
      </x:c>
      <x:c r="I299" s="17" t="n">
        <x:v>8928</x:v>
      </x:c>
    </x:row>
    <x:row r="300">
      <x:c r="A300" s="13" t="str">
        <x:v>5m_30d_plus_event_day_ibc_net_inbound_atom_to_spot_return</x:v>
      </x:c>
      <x:c r="B300" s="13" t="str">
        <x:v>5m</x:v>
      </x:c>
      <x:c r="C300" s="13" t="str">
        <x:v>30d_plus_event_day</x:v>
      </x:c>
      <x:c r="D300" s="13" t="str">
        <x:v>ibc_net_inbound_atom</x:v>
      </x:c>
      <x:c r="E300" s="13" t="str">
        <x:v>spot_return</x:v>
      </x:c>
      <x:c r="F300" s="40" t="n">
        <x:v>1</x:v>
      </x:c>
      <x:c r="G300" s="40" t="n">
        <x:v>5</x:v>
      </x:c>
      <x:c r="H300" s="42" t="n">
        <x:v>0.005408245365073495</x:v>
      </x:c>
      <x:c r="I300" s="17" t="n">
        <x:v>8927</x:v>
      </x:c>
    </x:row>
    <x:row r="301">
      <x:c r="A301" s="13" t="str">
        <x:v>5m_30d_plus_event_day_ibc_net_inbound_atom_to_spot_return</x:v>
      </x:c>
      <x:c r="B301" s="13" t="str">
        <x:v>5m</x:v>
      </x:c>
      <x:c r="C301" s="13" t="str">
        <x:v>30d_plus_event_day</x:v>
      </x:c>
      <x:c r="D301" s="13" t="str">
        <x:v>ibc_net_inbound_atom</x:v>
      </x:c>
      <x:c r="E301" s="13" t="str">
        <x:v>spot_return</x:v>
      </x:c>
      <x:c r="F301" s="40" t="n">
        <x:v>2</x:v>
      </x:c>
      <x:c r="G301" s="40" t="n">
        <x:v>10</x:v>
      </x:c>
      <x:c r="H301" s="42" t="n">
        <x:v>-0.005548282335628666</x:v>
      </x:c>
      <x:c r="I301" s="17" t="n">
        <x:v>8926</x:v>
      </x:c>
    </x:row>
    <x:row r="302">
      <x:c r="A302" s="13" t="str">
        <x:v>5m_30d_plus_event_day_ibc_net_inbound_atom_to_spot_return</x:v>
      </x:c>
      <x:c r="B302" s="13" t="str">
        <x:v>5m</x:v>
      </x:c>
      <x:c r="C302" s="13" t="str">
        <x:v>30d_plus_event_day</x:v>
      </x:c>
      <x:c r="D302" s="13" t="str">
        <x:v>ibc_net_inbound_atom</x:v>
      </x:c>
      <x:c r="E302" s="13" t="str">
        <x:v>spot_return</x:v>
      </x:c>
      <x:c r="F302" s="40" t="n">
        <x:v>3</x:v>
      </x:c>
      <x:c r="G302" s="40" t="n">
        <x:v>15</x:v>
      </x:c>
      <x:c r="H302" s="42" t="n">
        <x:v>0.01831308519906875</x:v>
      </x:c>
      <x:c r="I302" s="17" t="n">
        <x:v>8925</x:v>
      </x:c>
    </x:row>
    <x:row r="303">
      <x:c r="A303" s="13" t="str">
        <x:v>5m_30d_plus_event_day_ibc_net_inbound_atom_to_spot_return</x:v>
      </x:c>
      <x:c r="B303" s="13" t="str">
        <x:v>5m</x:v>
      </x:c>
      <x:c r="C303" s="13" t="str">
        <x:v>30d_plus_event_day</x:v>
      </x:c>
      <x:c r="D303" s="13" t="str">
        <x:v>ibc_net_inbound_atom</x:v>
      </x:c>
      <x:c r="E303" s="13" t="str">
        <x:v>spot_return</x:v>
      </x:c>
      <x:c r="F303" s="40" t="n">
        <x:v>4</x:v>
      </x:c>
      <x:c r="G303" s="40" t="n">
        <x:v>20</x:v>
      </x:c>
      <x:c r="H303" s="42" t="n">
        <x:v>0.017304524520449026</x:v>
      </x:c>
      <x:c r="I303" s="17" t="n">
        <x:v>8924</x:v>
      </x:c>
    </x:row>
    <x:row r="304">
      <x:c r="A304" s="13" t="str">
        <x:v>5m_30d_plus_event_day_ibc_net_inbound_atom_to_spot_return</x:v>
      </x:c>
      <x:c r="B304" s="13" t="str">
        <x:v>5m</x:v>
      </x:c>
      <x:c r="C304" s="13" t="str">
        <x:v>30d_plus_event_day</x:v>
      </x:c>
      <x:c r="D304" s="13" t="str">
        <x:v>ibc_net_inbound_atom</x:v>
      </x:c>
      <x:c r="E304" s="13" t="str">
        <x:v>spot_return</x:v>
      </x:c>
      <x:c r="F304" s="40" t="n">
        <x:v>5</x:v>
      </x:c>
      <x:c r="G304" s="40" t="n">
        <x:v>25</x:v>
      </x:c>
      <x:c r="H304" s="42" t="n">
        <x:v>0.01010814659206796</x:v>
      </x:c>
      <x:c r="I304" s="17" t="n">
        <x:v>8923</x:v>
      </x:c>
    </x:row>
    <x:row r="305">
      <x:c r="A305" s="13" t="str">
        <x:v>5m_30d_plus_event_day_ibc_net_inbound_atom_to_spot_return</x:v>
      </x:c>
      <x:c r="B305" s="13" t="str">
        <x:v>5m</x:v>
      </x:c>
      <x:c r="C305" s="13" t="str">
        <x:v>30d_plus_event_day</x:v>
      </x:c>
      <x:c r="D305" s="13" t="str">
        <x:v>ibc_net_inbound_atom</x:v>
      </x:c>
      <x:c r="E305" s="13" t="str">
        <x:v>spot_return</x:v>
      </x:c>
      <x:c r="F305" s="40" t="n">
        <x:v>6</x:v>
      </x:c>
      <x:c r="G305" s="40" t="n">
        <x:v>30</x:v>
      </x:c>
      <x:c r="H305" s="42" t="n">
        <x:v>-0.019505101162674475</x:v>
      </x:c>
      <x:c r="I305" s="17" t="n">
        <x:v>8922</x:v>
      </x:c>
    </x:row>
    <x:row r="306">
      <x:c r="A306" s="13" t="str">
        <x:v>5m_30d_plus_event_day_ibc_net_inbound_atom_to_spot_return</x:v>
      </x:c>
      <x:c r="B306" s="13" t="str">
        <x:v>5m</x:v>
      </x:c>
      <x:c r="C306" s="13" t="str">
        <x:v>30d_plus_event_day</x:v>
      </x:c>
      <x:c r="D306" s="13" t="str">
        <x:v>ibc_net_inbound_atom</x:v>
      </x:c>
      <x:c r="E306" s="13" t="str">
        <x:v>spot_return</x:v>
      </x:c>
      <x:c r="F306" s="40" t="n">
        <x:v>7</x:v>
      </x:c>
      <x:c r="G306" s="40" t="n">
        <x:v>35</x:v>
      </x:c>
      <x:c r="H306" s="42" t="n">
        <x:v>-0.012722803187272097</x:v>
      </x:c>
      <x:c r="I306" s="17" t="n">
        <x:v>8921</x:v>
      </x:c>
    </x:row>
    <x:row r="307">
      <x:c r="A307" s="13" t="str">
        <x:v>5m_30d_plus_event_day_ibc_net_inbound_atom_to_spot_return</x:v>
      </x:c>
      <x:c r="B307" s="13" t="str">
        <x:v>5m</x:v>
      </x:c>
      <x:c r="C307" s="13" t="str">
        <x:v>30d_plus_event_day</x:v>
      </x:c>
      <x:c r="D307" s="13" t="str">
        <x:v>ibc_net_inbound_atom</x:v>
      </x:c>
      <x:c r="E307" s="13" t="str">
        <x:v>spot_return</x:v>
      </x:c>
      <x:c r="F307" s="40" t="n">
        <x:v>8</x:v>
      </x:c>
      <x:c r="G307" s="40" t="n">
        <x:v>40</x:v>
      </x:c>
      <x:c r="H307" s="42" t="n">
        <x:v>-0.00015177928203081997</x:v>
      </x:c>
      <x:c r="I307" s="17" t="n">
        <x:v>8920</x:v>
      </x:c>
    </x:row>
    <x:row r="308">
      <x:c r="A308" s="13" t="str">
        <x:v>5m_30d_plus_event_day_ibc_net_inbound_atom_to_spot_return</x:v>
      </x:c>
      <x:c r="B308" s="13" t="str">
        <x:v>5m</x:v>
      </x:c>
      <x:c r="C308" s="13" t="str">
        <x:v>30d_plus_event_day</x:v>
      </x:c>
      <x:c r="D308" s="13" t="str">
        <x:v>ibc_net_inbound_atom</x:v>
      </x:c>
      <x:c r="E308" s="13" t="str">
        <x:v>spot_return</x:v>
      </x:c>
      <x:c r="F308" s="40" t="n">
        <x:v>9</x:v>
      </x:c>
      <x:c r="G308" s="40" t="n">
        <x:v>45</x:v>
      </x:c>
      <x:c r="H308" s="42" t="n">
        <x:v>-0.007938246068143735</x:v>
      </x:c>
      <x:c r="I308" s="17" t="n">
        <x:v>8919</x:v>
      </x:c>
    </x:row>
    <x:row r="309">
      <x:c r="A309" s="13" t="str">
        <x:v>5m_30d_plus_event_day_ibc_net_inbound_atom_to_spot_return</x:v>
      </x:c>
      <x:c r="B309" s="13" t="str">
        <x:v>5m</x:v>
      </x:c>
      <x:c r="C309" s="13" t="str">
        <x:v>30d_plus_event_day</x:v>
      </x:c>
      <x:c r="D309" s="13" t="str">
        <x:v>ibc_net_inbound_atom</x:v>
      </x:c>
      <x:c r="E309" s="13" t="str">
        <x:v>spot_return</x:v>
      </x:c>
      <x:c r="F309" s="40" t="n">
        <x:v>10</x:v>
      </x:c>
      <x:c r="G309" s="40" t="n">
        <x:v>50</x:v>
      </x:c>
      <x:c r="H309" s="42" t="n">
        <x:v>-0.021302039053803123</x:v>
      </x:c>
      <x:c r="I309" s="17" t="n">
        <x:v>8918</x:v>
      </x:c>
    </x:row>
    <x:row r="310">
      <x:c r="A310" s="13" t="str">
        <x:v>5m_30d_plus_event_day_ibc_net_inbound_atom_to_spot_return</x:v>
      </x:c>
      <x:c r="B310" s="13" t="str">
        <x:v>5m</x:v>
      </x:c>
      <x:c r="C310" s="13" t="str">
        <x:v>30d_plus_event_day</x:v>
      </x:c>
      <x:c r="D310" s="13" t="str">
        <x:v>ibc_net_inbound_atom</x:v>
      </x:c>
      <x:c r="E310" s="13" t="str">
        <x:v>spot_return</x:v>
      </x:c>
      <x:c r="F310" s="40" t="n">
        <x:v>11</x:v>
      </x:c>
      <x:c r="G310" s="40" t="n">
        <x:v>55</x:v>
      </x:c>
      <x:c r="H310" s="42" t="n">
        <x:v>-0.018981738548021244</x:v>
      </x:c>
      <x:c r="I310" s="17" t="n">
        <x:v>8917</x:v>
      </x:c>
    </x:row>
    <x:row r="311">
      <x:c r="A311" s="13" t="str">
        <x:v>5m_30d_plus_event_day_ibc_net_inbound_atom_to_spot_return</x:v>
      </x:c>
      <x:c r="B311" s="13" t="str">
        <x:v>5m</x:v>
      </x:c>
      <x:c r="C311" s="13" t="str">
        <x:v>30d_plus_event_day</x:v>
      </x:c>
      <x:c r="D311" s="13" t="str">
        <x:v>ibc_net_inbound_atom</x:v>
      </x:c>
      <x:c r="E311" s="13" t="str">
        <x:v>spot_return</x:v>
      </x:c>
      <x:c r="F311" s="40" t="n">
        <x:v>12</x:v>
      </x:c>
      <x:c r="G311" s="40" t="n">
        <x:v>60</x:v>
      </x:c>
      <x:c r="H311" s="42" t="n">
        <x:v>-0.006011497326326963</x:v>
      </x:c>
      <x:c r="I311" s="17" t="n">
        <x:v>8916</x:v>
      </x:c>
    </x:row>
    <x:row r="312">
      <x:c r="A312" s="13" t="str">
        <x:v>5m_event_local_4h_confirmed_exchange_in_atom_to_spot_range_stress</x:v>
      </x:c>
      <x:c r="B312" s="13" t="str">
        <x:v>5m</x:v>
      </x:c>
      <x:c r="C312" s="13" t="str">
        <x:v>event_local_4h</x:v>
      </x:c>
      <x:c r="D312" s="13" t="str">
        <x:v>confirmed_exchange_in_atom</x:v>
      </x:c>
      <x:c r="E312" s="13" t="str">
        <x:v>spot_range_stress</x:v>
      </x:c>
      <x:c r="F312" s="40" t="n">
        <x:v>-12</x:v>
      </x:c>
      <x:c r="G312" s="40" t="n">
        <x:v>-60</x:v>
      </x:c>
      <x:c r="H312" s="42" t="n">
        <x:v>0.30055399864283905</x:v>
      </x:c>
      <x:c r="I312" s="17" t="n">
        <x:v>36</x:v>
      </x:c>
    </x:row>
    <x:row r="313">
      <x:c r="A313" s="13" t="str">
        <x:v>5m_event_local_4h_confirmed_exchange_in_atom_to_spot_range_stress</x:v>
      </x:c>
      <x:c r="B313" s="13" t="str">
        <x:v>5m</x:v>
      </x:c>
      <x:c r="C313" s="13" t="str">
        <x:v>event_local_4h</x:v>
      </x:c>
      <x:c r="D313" s="13" t="str">
        <x:v>confirmed_exchange_in_atom</x:v>
      </x:c>
      <x:c r="E313" s="13" t="str">
        <x:v>spot_range_stress</x:v>
      </x:c>
      <x:c r="F313" s="40" t="n">
        <x:v>-11</x:v>
      </x:c>
      <x:c r="G313" s="40" t="n">
        <x:v>-55</x:v>
      </x:c>
      <x:c r="H313" s="42" t="n">
        <x:v>0.0621027617632773</x:v>
      </x:c>
      <x:c r="I313" s="17" t="n">
        <x:v>37</x:v>
      </x:c>
    </x:row>
    <x:row r="314">
      <x:c r="A314" s="13" t="str">
        <x:v>5m_event_local_4h_confirmed_exchange_in_atom_to_spot_range_stress</x:v>
      </x:c>
      <x:c r="B314" s="13" t="str">
        <x:v>5m</x:v>
      </x:c>
      <x:c r="C314" s="13" t="str">
        <x:v>event_local_4h</x:v>
      </x:c>
      <x:c r="D314" s="13" t="str">
        <x:v>confirmed_exchange_in_atom</x:v>
      </x:c>
      <x:c r="E314" s="13" t="str">
        <x:v>spot_range_stress</x:v>
      </x:c>
      <x:c r="F314" s="40" t="n">
        <x:v>-10</x:v>
      </x:c>
      <x:c r="G314" s="40" t="n">
        <x:v>-50</x:v>
      </x:c>
      <x:c r="H314" s="42" t="n">
        <x:v>0.06949932422281288</x:v>
      </x:c>
      <x:c r="I314" s="17" t="n">
        <x:v>38</x:v>
      </x:c>
    </x:row>
    <x:row r="315">
      <x:c r="A315" s="13" t="str">
        <x:v>5m_event_local_4h_confirmed_exchange_in_atom_to_spot_range_stress</x:v>
      </x:c>
      <x:c r="B315" s="13" t="str">
        <x:v>5m</x:v>
      </x:c>
      <x:c r="C315" s="13" t="str">
        <x:v>event_local_4h</x:v>
      </x:c>
      <x:c r="D315" s="13" t="str">
        <x:v>confirmed_exchange_in_atom</x:v>
      </x:c>
      <x:c r="E315" s="13" t="str">
        <x:v>spot_range_stress</x:v>
      </x:c>
      <x:c r="F315" s="40" t="n">
        <x:v>-9</x:v>
      </x:c>
      <x:c r="G315" s="40" t="n">
        <x:v>-45</x:v>
      </x:c>
      <x:c r="H315" s="42" t="n">
        <x:v>0.12240247210819905</x:v>
      </x:c>
      <x:c r="I315" s="17" t="n">
        <x:v>39</x:v>
      </x:c>
    </x:row>
    <x:row r="316">
      <x:c r="A316" s="13" t="str">
        <x:v>5m_event_local_4h_confirmed_exchange_in_atom_to_spot_range_stress</x:v>
      </x:c>
      <x:c r="B316" s="13" t="str">
        <x:v>5m</x:v>
      </x:c>
      <x:c r="C316" s="13" t="str">
        <x:v>event_local_4h</x:v>
      </x:c>
      <x:c r="D316" s="13" t="str">
        <x:v>confirmed_exchange_in_atom</x:v>
      </x:c>
      <x:c r="E316" s="13" t="str">
        <x:v>spot_range_stress</x:v>
      </x:c>
      <x:c r="F316" s="40" t="n">
        <x:v>-8</x:v>
      </x:c>
      <x:c r="G316" s="40" t="n">
        <x:v>-40</x:v>
      </x:c>
      <x:c r="H316" s="42" t="n">
        <x:v>0.07930073729071584</x:v>
      </x:c>
      <x:c r="I316" s="17" t="n">
        <x:v>40</x:v>
      </x:c>
    </x:row>
    <x:row r="317">
      <x:c r="A317" s="13" t="str">
        <x:v>5m_event_local_4h_confirmed_exchange_in_atom_to_spot_range_stress</x:v>
      </x:c>
      <x:c r="B317" s="13" t="str">
        <x:v>5m</x:v>
      </x:c>
      <x:c r="C317" s="13" t="str">
        <x:v>event_local_4h</x:v>
      </x:c>
      <x:c r="D317" s="13" t="str">
        <x:v>confirmed_exchange_in_atom</x:v>
      </x:c>
      <x:c r="E317" s="13" t="str">
        <x:v>spot_range_stress</x:v>
      </x:c>
      <x:c r="F317" s="40" t="n">
        <x:v>-7</x:v>
      </x:c>
      <x:c r="G317" s="40" t="n">
        <x:v>-35</x:v>
      </x:c>
      <x:c r="H317" s="42" t="n">
        <x:v>0.17492046259137878</x:v>
      </x:c>
      <x:c r="I317" s="17" t="n">
        <x:v>41</x:v>
      </x:c>
    </x:row>
    <x:row r="318">
      <x:c r="A318" s="13" t="str">
        <x:v>5m_event_local_4h_confirmed_exchange_in_atom_to_spot_range_stress</x:v>
      </x:c>
      <x:c r="B318" s="13" t="str">
        <x:v>5m</x:v>
      </x:c>
      <x:c r="C318" s="13" t="str">
        <x:v>event_local_4h</x:v>
      </x:c>
      <x:c r="D318" s="13" t="str">
        <x:v>confirmed_exchange_in_atom</x:v>
      </x:c>
      <x:c r="E318" s="13" t="str">
        <x:v>spot_range_stress</x:v>
      </x:c>
      <x:c r="F318" s="40" t="n">
        <x:v>-6</x:v>
      </x:c>
      <x:c r="G318" s="40" t="n">
        <x:v>-30</x:v>
      </x:c>
      <x:c r="H318" s="42" t="n">
        <x:v>0.1422204906816442</x:v>
      </x:c>
      <x:c r="I318" s="17" t="n">
        <x:v>42</x:v>
      </x:c>
    </x:row>
    <x:row r="319">
      <x:c r="A319" s="13" t="str">
        <x:v>5m_event_local_4h_confirmed_exchange_in_atom_to_spot_range_stress</x:v>
      </x:c>
      <x:c r="B319" s="13" t="str">
        <x:v>5m</x:v>
      </x:c>
      <x:c r="C319" s="13" t="str">
        <x:v>event_local_4h</x:v>
      </x:c>
      <x:c r="D319" s="13" t="str">
        <x:v>confirmed_exchange_in_atom</x:v>
      </x:c>
      <x:c r="E319" s="13" t="str">
        <x:v>spot_range_stress</x:v>
      </x:c>
      <x:c r="F319" s="40" t="n">
        <x:v>-5</x:v>
      </x:c>
      <x:c r="G319" s="40" t="n">
        <x:v>-25</x:v>
      </x:c>
      <x:c r="H319" s="42" t="n">
        <x:v>0.17116525820290057</x:v>
      </x:c>
      <x:c r="I319" s="17" t="n">
        <x:v>43</x:v>
      </x:c>
    </x:row>
    <x:row r="320">
      <x:c r="A320" s="13" t="str">
        <x:v>5m_event_local_4h_confirmed_exchange_in_atom_to_spot_range_stress</x:v>
      </x:c>
      <x:c r="B320" s="13" t="str">
        <x:v>5m</x:v>
      </x:c>
      <x:c r="C320" s="13" t="str">
        <x:v>event_local_4h</x:v>
      </x:c>
      <x:c r="D320" s="13" t="str">
        <x:v>confirmed_exchange_in_atom</x:v>
      </x:c>
      <x:c r="E320" s="13" t="str">
        <x:v>spot_range_stress</x:v>
      </x:c>
      <x:c r="F320" s="40" t="n">
        <x:v>-4</x:v>
      </x:c>
      <x:c r="G320" s="40" t="n">
        <x:v>-20</x:v>
      </x:c>
      <x:c r="H320" s="42" t="n">
        <x:v>0.1113963669875233</x:v>
      </x:c>
      <x:c r="I320" s="17" t="n">
        <x:v>44</x:v>
      </x:c>
    </x:row>
    <x:row r="321">
      <x:c r="A321" s="13" t="str">
        <x:v>5m_event_local_4h_confirmed_exchange_in_atom_to_spot_range_stress</x:v>
      </x:c>
      <x:c r="B321" s="13" t="str">
        <x:v>5m</x:v>
      </x:c>
      <x:c r="C321" s="13" t="str">
        <x:v>event_local_4h</x:v>
      </x:c>
      <x:c r="D321" s="13" t="str">
        <x:v>confirmed_exchange_in_atom</x:v>
      </x:c>
      <x:c r="E321" s="13" t="str">
        <x:v>spot_range_stress</x:v>
      </x:c>
      <x:c r="F321" s="40" t="n">
        <x:v>-3</x:v>
      </x:c>
      <x:c r="G321" s="40" t="n">
        <x:v>-15</x:v>
      </x:c>
      <x:c r="H321" s="42" t="n">
        <x:v>-0.0694005046614255</x:v>
      </x:c>
      <x:c r="I321" s="17" t="n">
        <x:v>45</x:v>
      </x:c>
    </x:row>
    <x:row r="322">
      <x:c r="A322" s="13" t="str">
        <x:v>5m_event_local_4h_confirmed_exchange_in_atom_to_spot_range_stress</x:v>
      </x:c>
      <x:c r="B322" s="13" t="str">
        <x:v>5m</x:v>
      </x:c>
      <x:c r="C322" s="13" t="str">
        <x:v>event_local_4h</x:v>
      </x:c>
      <x:c r="D322" s="13" t="str">
        <x:v>confirmed_exchange_in_atom</x:v>
      </x:c>
      <x:c r="E322" s="13" t="str">
        <x:v>spot_range_stress</x:v>
      </x:c>
      <x:c r="F322" s="40" t="n">
        <x:v>-2</x:v>
      </x:c>
      <x:c r="G322" s="40" t="n">
        <x:v>-10</x:v>
      </x:c>
      <x:c r="H322" s="42" t="n">
        <x:v>-0.005584329909257857</x:v>
      </x:c>
      <x:c r="I322" s="17" t="n">
        <x:v>46</x:v>
      </x:c>
    </x:row>
    <x:row r="323">
      <x:c r="A323" s="13" t="str">
        <x:v>5m_event_local_4h_confirmed_exchange_in_atom_to_spot_range_stress</x:v>
      </x:c>
      <x:c r="B323" s="13" t="str">
        <x:v>5m</x:v>
      </x:c>
      <x:c r="C323" s="13" t="str">
        <x:v>event_local_4h</x:v>
      </x:c>
      <x:c r="D323" s="13" t="str">
        <x:v>confirmed_exchange_in_atom</x:v>
      </x:c>
      <x:c r="E323" s="13" t="str">
        <x:v>spot_range_stress</x:v>
      </x:c>
      <x:c r="F323" s="40" t="n">
        <x:v>-1</x:v>
      </x:c>
      <x:c r="G323" s="40" t="n">
        <x:v>-5</x:v>
      </x:c>
      <x:c r="H323" s="42" t="n">
        <x:v>0.041447619766483604</x:v>
      </x:c>
      <x:c r="I323" s="17" t="n">
        <x:v>47</x:v>
      </x:c>
    </x:row>
    <x:row r="324">
      <x:c r="A324" s="13" t="str">
        <x:v>5m_event_local_4h_confirmed_exchange_in_atom_to_spot_range_stress</x:v>
      </x:c>
      <x:c r="B324" s="13" t="str">
        <x:v>5m</x:v>
      </x:c>
      <x:c r="C324" s="13" t="str">
        <x:v>event_local_4h</x:v>
      </x:c>
      <x:c r="D324" s="13" t="str">
        <x:v>confirmed_exchange_in_atom</x:v>
      </x:c>
      <x:c r="E324" s="13" t="str">
        <x:v>spot_range_stress</x:v>
      </x:c>
      <x:c r="F324" s="40" t="n">
        <x:v>0</x:v>
      </x:c>
      <x:c r="G324" s="40" t="n">
        <x:v>0</x:v>
      </x:c>
      <x:c r="H324" s="42" t="n">
        <x:v>0.08827341633882696</x:v>
      </x:c>
      <x:c r="I324" s="17" t="n">
        <x:v>48</x:v>
      </x:c>
    </x:row>
    <x:row r="325">
      <x:c r="A325" s="13" t="str">
        <x:v>5m_event_local_4h_confirmed_exchange_in_atom_to_spot_range_stress</x:v>
      </x:c>
      <x:c r="B325" s="13" t="str">
        <x:v>5m</x:v>
      </x:c>
      <x:c r="C325" s="13" t="str">
        <x:v>event_local_4h</x:v>
      </x:c>
      <x:c r="D325" s="13" t="str">
        <x:v>confirmed_exchange_in_atom</x:v>
      </x:c>
      <x:c r="E325" s="13" t="str">
        <x:v>spot_range_stress</x:v>
      </x:c>
      <x:c r="F325" s="40" t="n">
        <x:v>1</x:v>
      </x:c>
      <x:c r="G325" s="40" t="n">
        <x:v>5</x:v>
      </x:c>
      <x:c r="H325" s="42" t="n">
        <x:v>0.10868861498801118</x:v>
      </x:c>
      <x:c r="I325" s="17" t="n">
        <x:v>47</x:v>
      </x:c>
    </x:row>
    <x:row r="326">
      <x:c r="A326" s="13" t="str">
        <x:v>5m_event_local_4h_confirmed_exchange_in_atom_to_spot_range_stress</x:v>
      </x:c>
      <x:c r="B326" s="13" t="str">
        <x:v>5m</x:v>
      </x:c>
      <x:c r="C326" s="13" t="str">
        <x:v>event_local_4h</x:v>
      </x:c>
      <x:c r="D326" s="13" t="str">
        <x:v>confirmed_exchange_in_atom</x:v>
      </x:c>
      <x:c r="E326" s="13" t="str">
        <x:v>spot_range_stress</x:v>
      </x:c>
      <x:c r="F326" s="40" t="n">
        <x:v>2</x:v>
      </x:c>
      <x:c r="G326" s="40" t="n">
        <x:v>10</x:v>
      </x:c>
      <x:c r="H326" s="42" t="n">
        <x:v>0.021813413575974668</x:v>
      </x:c>
      <x:c r="I326" s="17" t="n">
        <x:v>46</x:v>
      </x:c>
    </x:row>
    <x:row r="327">
      <x:c r="A327" s="13" t="str">
        <x:v>5m_event_local_4h_confirmed_exchange_in_atom_to_spot_range_stress</x:v>
      </x:c>
      <x:c r="B327" s="13" t="str">
        <x:v>5m</x:v>
      </x:c>
      <x:c r="C327" s="13" t="str">
        <x:v>event_local_4h</x:v>
      </x:c>
      <x:c r="D327" s="13" t="str">
        <x:v>confirmed_exchange_in_atom</x:v>
      </x:c>
      <x:c r="E327" s="13" t="str">
        <x:v>spot_range_stress</x:v>
      </x:c>
      <x:c r="F327" s="40" t="n">
        <x:v>3</x:v>
      </x:c>
      <x:c r="G327" s="40" t="n">
        <x:v>15</x:v>
      </x:c>
      <x:c r="H327" s="42" t="n">
        <x:v>-0.07919304687631419</x:v>
      </x:c>
      <x:c r="I327" s="17" t="n">
        <x:v>45</x:v>
      </x:c>
    </x:row>
    <x:row r="328">
      <x:c r="A328" s="13" t="str">
        <x:v>5m_event_local_4h_confirmed_exchange_in_atom_to_spot_range_stress</x:v>
      </x:c>
      <x:c r="B328" s="13" t="str">
        <x:v>5m</x:v>
      </x:c>
      <x:c r="C328" s="13" t="str">
        <x:v>event_local_4h</x:v>
      </x:c>
      <x:c r="D328" s="13" t="str">
        <x:v>confirmed_exchange_in_atom</x:v>
      </x:c>
      <x:c r="E328" s="13" t="str">
        <x:v>spot_range_stress</x:v>
      </x:c>
      <x:c r="F328" s="40" t="n">
        <x:v>4</x:v>
      </x:c>
      <x:c r="G328" s="40" t="n">
        <x:v>20</x:v>
      </x:c>
      <x:c r="H328" s="42" t="n">
        <x:v>0.06252793023876378</x:v>
      </x:c>
      <x:c r="I328" s="17" t="n">
        <x:v>44</x:v>
      </x:c>
    </x:row>
    <x:row r="329">
      <x:c r="A329" s="13" t="str">
        <x:v>5m_event_local_4h_confirmed_exchange_in_atom_to_spot_range_stress</x:v>
      </x:c>
      <x:c r="B329" s="13" t="str">
        <x:v>5m</x:v>
      </x:c>
      <x:c r="C329" s="13" t="str">
        <x:v>event_local_4h</x:v>
      </x:c>
      <x:c r="D329" s="13" t="str">
        <x:v>confirmed_exchange_in_atom</x:v>
      </x:c>
      <x:c r="E329" s="13" t="str">
        <x:v>spot_range_stress</x:v>
      </x:c>
      <x:c r="F329" s="40" t="n">
        <x:v>5</x:v>
      </x:c>
      <x:c r="G329" s="40" t="n">
        <x:v>25</x:v>
      </x:c>
      <x:c r="H329" s="42" t="n">
        <x:v>0.017539903148444648</x:v>
      </x:c>
      <x:c r="I329" s="17" t="n">
        <x:v>43</x:v>
      </x:c>
    </x:row>
    <x:row r="330">
      <x:c r="A330" s="13" t="str">
        <x:v>5m_event_local_4h_confirmed_exchange_in_atom_to_spot_range_stress</x:v>
      </x:c>
      <x:c r="B330" s="13" t="str">
        <x:v>5m</x:v>
      </x:c>
      <x:c r="C330" s="13" t="str">
        <x:v>event_local_4h</x:v>
      </x:c>
      <x:c r="D330" s="13" t="str">
        <x:v>confirmed_exchange_in_atom</x:v>
      </x:c>
      <x:c r="E330" s="13" t="str">
        <x:v>spot_range_stress</x:v>
      </x:c>
      <x:c r="F330" s="40" t="n">
        <x:v>6</x:v>
      </x:c>
      <x:c r="G330" s="40" t="n">
        <x:v>30</x:v>
      </x:c>
      <x:c r="H330" s="42" t="n">
        <x:v>-0.18502435909811737</x:v>
      </x:c>
      <x:c r="I330" s="17" t="n">
        <x:v>42</x:v>
      </x:c>
    </x:row>
    <x:row r="331">
      <x:c r="A331" s="13" t="str">
        <x:v>5m_event_local_4h_confirmed_exchange_in_atom_to_spot_range_stress</x:v>
      </x:c>
      <x:c r="B331" s="13" t="str">
        <x:v>5m</x:v>
      </x:c>
      <x:c r="C331" s="13" t="str">
        <x:v>event_local_4h</x:v>
      </x:c>
      <x:c r="D331" s="13" t="str">
        <x:v>confirmed_exchange_in_atom</x:v>
      </x:c>
      <x:c r="E331" s="13" t="str">
        <x:v>spot_range_stress</x:v>
      </x:c>
      <x:c r="F331" s="40" t="n">
        <x:v>7</x:v>
      </x:c>
      <x:c r="G331" s="40" t="n">
        <x:v>35</x:v>
      </x:c>
      <x:c r="H331" s="42" t="n">
        <x:v>-0.2822881696472443</x:v>
      </x:c>
      <x:c r="I331" s="17" t="n">
        <x:v>41</x:v>
      </x:c>
    </x:row>
    <x:row r="332">
      <x:c r="A332" s="13" t="str">
        <x:v>5m_event_local_4h_confirmed_exchange_in_atom_to_spot_range_stress</x:v>
      </x:c>
      <x:c r="B332" s="13" t="str">
        <x:v>5m</x:v>
      </x:c>
      <x:c r="C332" s="13" t="str">
        <x:v>event_local_4h</x:v>
      </x:c>
      <x:c r="D332" s="13" t="str">
        <x:v>confirmed_exchange_in_atom</x:v>
      </x:c>
      <x:c r="E332" s="13" t="str">
        <x:v>spot_range_stress</x:v>
      </x:c>
      <x:c r="F332" s="40" t="n">
        <x:v>8</x:v>
      </x:c>
      <x:c r="G332" s="40" t="n">
        <x:v>40</x:v>
      </x:c>
      <x:c r="H332" s="42" t="n">
        <x:v>-0.5710132540515529</x:v>
      </x:c>
      <x:c r="I332" s="17" t="n">
        <x:v>40</x:v>
      </x:c>
    </x:row>
    <x:row r="333">
      <x:c r="A333" s="13" t="str">
        <x:v>5m_event_local_4h_confirmed_exchange_in_atom_to_spot_range_stress</x:v>
      </x:c>
      <x:c r="B333" s="13" t="str">
        <x:v>5m</x:v>
      </x:c>
      <x:c r="C333" s="13" t="str">
        <x:v>event_local_4h</x:v>
      </x:c>
      <x:c r="D333" s="13" t="str">
        <x:v>confirmed_exchange_in_atom</x:v>
      </x:c>
      <x:c r="E333" s="13" t="str">
        <x:v>spot_range_stress</x:v>
      </x:c>
      <x:c r="F333" s="40" t="n">
        <x:v>9</x:v>
      </x:c>
      <x:c r="G333" s="40" t="n">
        <x:v>45</x:v>
      </x:c>
      <x:c r="H333" s="42" t="n">
        <x:v>-0.40092121249842444</x:v>
      </x:c>
      <x:c r="I333" s="17" t="n">
        <x:v>39</x:v>
      </x:c>
    </x:row>
    <x:row r="334">
      <x:c r="A334" s="13" t="str">
        <x:v>5m_event_local_4h_confirmed_exchange_in_atom_to_spot_range_stress</x:v>
      </x:c>
      <x:c r="B334" s="13" t="str">
        <x:v>5m</x:v>
      </x:c>
      <x:c r="C334" s="13" t="str">
        <x:v>event_local_4h</x:v>
      </x:c>
      <x:c r="D334" s="13" t="str">
        <x:v>confirmed_exchange_in_atom</x:v>
      </x:c>
      <x:c r="E334" s="13" t="str">
        <x:v>spot_range_stress</x:v>
      </x:c>
      <x:c r="F334" s="40" t="n">
        <x:v>10</x:v>
      </x:c>
      <x:c r="G334" s="40" t="n">
        <x:v>50</x:v>
      </x:c>
      <x:c r="H334" s="42" t="n">
        <x:v>-0.1379911551234772</x:v>
      </x:c>
      <x:c r="I334" s="17" t="n">
        <x:v>38</x:v>
      </x:c>
    </x:row>
    <x:row r="335">
      <x:c r="A335" s="13" t="str">
        <x:v>5m_event_local_4h_confirmed_exchange_in_atom_to_spot_range_stress</x:v>
      </x:c>
      <x:c r="B335" s="13" t="str">
        <x:v>5m</x:v>
      </x:c>
      <x:c r="C335" s="13" t="str">
        <x:v>event_local_4h</x:v>
      </x:c>
      <x:c r="D335" s="13" t="str">
        <x:v>confirmed_exchange_in_atom</x:v>
      </x:c>
      <x:c r="E335" s="13" t="str">
        <x:v>spot_range_stress</x:v>
      </x:c>
      <x:c r="F335" s="40" t="n">
        <x:v>11</x:v>
      </x:c>
      <x:c r="G335" s="40" t="n">
        <x:v>55</x:v>
      </x:c>
      <x:c r="H335" s="42" t="n">
        <x:v>-0.04931544286349012</x:v>
      </x:c>
      <x:c r="I335" s="17" t="n">
        <x:v>37</x:v>
      </x:c>
    </x:row>
    <x:row r="336">
      <x:c r="A336" s="13" t="str">
        <x:v>5m_event_local_4h_confirmed_exchange_in_atom_to_spot_range_stress</x:v>
      </x:c>
      <x:c r="B336" s="13" t="str">
        <x:v>5m</x:v>
      </x:c>
      <x:c r="C336" s="13" t="str">
        <x:v>event_local_4h</x:v>
      </x:c>
      <x:c r="D336" s="13" t="str">
        <x:v>confirmed_exchange_in_atom</x:v>
      </x:c>
      <x:c r="E336" s="13" t="str">
        <x:v>spot_range_stress</x:v>
      </x:c>
      <x:c r="F336" s="40" t="n">
        <x:v>12</x:v>
      </x:c>
      <x:c r="G336" s="40" t="n">
        <x:v>60</x:v>
      </x:c>
      <x:c r="H336" s="42" t="n">
        <x:v>-0.031430255687172254</x:v>
      </x:c>
      <x:c r="I336" s="17" t="n">
        <x:v>36</x:v>
      </x:c>
    </x:row>
    <x:row r="337">
      <x:c r="A337" s="13" t="str">
        <x:v>5m_event_local_4h_confirmed_exchange_out_atom_to_spot_range_stress</x:v>
      </x:c>
      <x:c r="B337" s="13" t="str">
        <x:v>5m</x:v>
      </x:c>
      <x:c r="C337" s="13" t="str">
        <x:v>event_local_4h</x:v>
      </x:c>
      <x:c r="D337" s="13" t="str">
        <x:v>confirmed_exchange_out_atom</x:v>
      </x:c>
      <x:c r="E337" s="13" t="str">
        <x:v>spot_range_stress</x:v>
      </x:c>
      <x:c r="F337" s="40" t="n">
        <x:v>-12</x:v>
      </x:c>
      <x:c r="G337" s="40" t="n">
        <x:v>-60</x:v>
      </x:c>
      <x:c r="H337" s="42" t="n">
        <x:v>0.20646725495938667</x:v>
      </x:c>
      <x:c r="I337" s="17" t="n">
        <x:v>36</x:v>
      </x:c>
    </x:row>
    <x:row r="338">
      <x:c r="A338" s="13" t="str">
        <x:v>5m_event_local_4h_confirmed_exchange_out_atom_to_spot_range_stress</x:v>
      </x:c>
      <x:c r="B338" s="13" t="str">
        <x:v>5m</x:v>
      </x:c>
      <x:c r="C338" s="13" t="str">
        <x:v>event_local_4h</x:v>
      </x:c>
      <x:c r="D338" s="13" t="str">
        <x:v>confirmed_exchange_out_atom</x:v>
      </x:c>
      <x:c r="E338" s="13" t="str">
        <x:v>spot_range_stress</x:v>
      </x:c>
      <x:c r="F338" s="40" t="n">
        <x:v>-11</x:v>
      </x:c>
      <x:c r="G338" s="40" t="n">
        <x:v>-55</x:v>
      </x:c>
      <x:c r="H338" s="42" t="n">
        <x:v>0.1348540743131534</x:v>
      </x:c>
      <x:c r="I338" s="17" t="n">
        <x:v>37</x:v>
      </x:c>
    </x:row>
    <x:row r="339">
      <x:c r="A339" s="13" t="str">
        <x:v>5m_event_local_4h_confirmed_exchange_out_atom_to_spot_range_stress</x:v>
      </x:c>
      <x:c r="B339" s="13" t="str">
        <x:v>5m</x:v>
      </x:c>
      <x:c r="C339" s="13" t="str">
        <x:v>event_local_4h</x:v>
      </x:c>
      <x:c r="D339" s="13" t="str">
        <x:v>confirmed_exchange_out_atom</x:v>
      </x:c>
      <x:c r="E339" s="13" t="str">
        <x:v>spot_range_stress</x:v>
      </x:c>
      <x:c r="F339" s="40" t="n">
        <x:v>-10</x:v>
      </x:c>
      <x:c r="G339" s="40" t="n">
        <x:v>-50</x:v>
      </x:c>
      <x:c r="H339" s="42" t="n">
        <x:v>-0.30846359424284175</x:v>
      </x:c>
      <x:c r="I339" s="17" t="n">
        <x:v>38</x:v>
      </x:c>
    </x:row>
    <x:row r="340">
      <x:c r="A340" s="13" t="str">
        <x:v>5m_event_local_4h_confirmed_exchange_out_atom_to_spot_range_stress</x:v>
      </x:c>
      <x:c r="B340" s="13" t="str">
        <x:v>5m</x:v>
      </x:c>
      <x:c r="C340" s="13" t="str">
        <x:v>event_local_4h</x:v>
      </x:c>
      <x:c r="D340" s="13" t="str">
        <x:v>confirmed_exchange_out_atom</x:v>
      </x:c>
      <x:c r="E340" s="13" t="str">
        <x:v>spot_range_stress</x:v>
      </x:c>
      <x:c r="F340" s="40" t="n">
        <x:v>-9</x:v>
      </x:c>
      <x:c r="G340" s="40" t="n">
        <x:v>-45</x:v>
      </x:c>
      <x:c r="H340" s="42" t="n">
        <x:v>0.10162974249982695</x:v>
      </x:c>
      <x:c r="I340" s="17" t="n">
        <x:v>39</x:v>
      </x:c>
    </x:row>
    <x:row r="341">
      <x:c r="A341" s="13" t="str">
        <x:v>5m_event_local_4h_confirmed_exchange_out_atom_to_spot_range_stress</x:v>
      </x:c>
      <x:c r="B341" s="13" t="str">
        <x:v>5m</x:v>
      </x:c>
      <x:c r="C341" s="13" t="str">
        <x:v>event_local_4h</x:v>
      </x:c>
      <x:c r="D341" s="13" t="str">
        <x:v>confirmed_exchange_out_atom</x:v>
      </x:c>
      <x:c r="E341" s="13" t="str">
        <x:v>spot_range_stress</x:v>
      </x:c>
      <x:c r="F341" s="40" t="n">
        <x:v>-8</x:v>
      </x:c>
      <x:c r="G341" s="40" t="n">
        <x:v>-40</x:v>
      </x:c>
      <x:c r="H341" s="42" t="n">
        <x:v>-0.3103185610089964</x:v>
      </x:c>
      <x:c r="I341" s="17" t="n">
        <x:v>40</x:v>
      </x:c>
    </x:row>
    <x:row r="342">
      <x:c r="A342" s="13" t="str">
        <x:v>5m_event_local_4h_confirmed_exchange_out_atom_to_spot_range_stress</x:v>
      </x:c>
      <x:c r="B342" s="13" t="str">
        <x:v>5m</x:v>
      </x:c>
      <x:c r="C342" s="13" t="str">
        <x:v>event_local_4h</x:v>
      </x:c>
      <x:c r="D342" s="13" t="str">
        <x:v>confirmed_exchange_out_atom</x:v>
      </x:c>
      <x:c r="E342" s="13" t="str">
        <x:v>spot_range_stress</x:v>
      </x:c>
      <x:c r="F342" s="40" t="n">
        <x:v>-7</x:v>
      </x:c>
      <x:c r="G342" s="40" t="n">
        <x:v>-35</x:v>
      </x:c>
      <x:c r="H342" s="42" t="n">
        <x:v>0.1444621446783487</x:v>
      </x:c>
      <x:c r="I342" s="17" t="n">
        <x:v>41</x:v>
      </x:c>
    </x:row>
    <x:row r="343">
      <x:c r="A343" s="13" t="str">
        <x:v>5m_event_local_4h_confirmed_exchange_out_atom_to_spot_range_stress</x:v>
      </x:c>
      <x:c r="B343" s="13" t="str">
        <x:v>5m</x:v>
      </x:c>
      <x:c r="C343" s="13" t="str">
        <x:v>event_local_4h</x:v>
      </x:c>
      <x:c r="D343" s="13" t="str">
        <x:v>confirmed_exchange_out_atom</x:v>
      </x:c>
      <x:c r="E343" s="13" t="str">
        <x:v>spot_range_stress</x:v>
      </x:c>
      <x:c r="F343" s="40" t="n">
        <x:v>-6</x:v>
      </x:c>
      <x:c r="G343" s="40" t="n">
        <x:v>-30</x:v>
      </x:c>
      <x:c r="H343" s="42" t="n">
        <x:v>-0.1986913018544546</x:v>
      </x:c>
      <x:c r="I343" s="17" t="n">
        <x:v>42</x:v>
      </x:c>
    </x:row>
    <x:row r="344">
      <x:c r="A344" s="13" t="str">
        <x:v>5m_event_local_4h_confirmed_exchange_out_atom_to_spot_range_stress</x:v>
      </x:c>
      <x:c r="B344" s="13" t="str">
        <x:v>5m</x:v>
      </x:c>
      <x:c r="C344" s="13" t="str">
        <x:v>event_local_4h</x:v>
      </x:c>
      <x:c r="D344" s="13" t="str">
        <x:v>confirmed_exchange_out_atom</x:v>
      </x:c>
      <x:c r="E344" s="13" t="str">
        <x:v>spot_range_stress</x:v>
      </x:c>
      <x:c r="F344" s="40" t="n">
        <x:v>-5</x:v>
      </x:c>
      <x:c r="G344" s="40" t="n">
        <x:v>-25</x:v>
      </x:c>
      <x:c r="H344" s="42" t="n">
        <x:v>0.12723567727856921</x:v>
      </x:c>
      <x:c r="I344" s="17" t="n">
        <x:v>43</x:v>
      </x:c>
    </x:row>
    <x:row r="345">
      <x:c r="A345" s="13" t="str">
        <x:v>5m_event_local_4h_confirmed_exchange_out_atom_to_spot_range_stress</x:v>
      </x:c>
      <x:c r="B345" s="13" t="str">
        <x:v>5m</x:v>
      </x:c>
      <x:c r="C345" s="13" t="str">
        <x:v>event_local_4h</x:v>
      </x:c>
      <x:c r="D345" s="13" t="str">
        <x:v>confirmed_exchange_out_atom</x:v>
      </x:c>
      <x:c r="E345" s="13" t="str">
        <x:v>spot_range_stress</x:v>
      </x:c>
      <x:c r="F345" s="40" t="n">
        <x:v>-4</x:v>
      </x:c>
      <x:c r="G345" s="40" t="n">
        <x:v>-20</x:v>
      </x:c>
      <x:c r="H345" s="42" t="n">
        <x:v>0.12330494325043379</x:v>
      </x:c>
      <x:c r="I345" s="17" t="n">
        <x:v>44</x:v>
      </x:c>
    </x:row>
    <x:row r="346">
      <x:c r="A346" s="13" t="str">
        <x:v>5m_event_local_4h_confirmed_exchange_out_atom_to_spot_range_stress</x:v>
      </x:c>
      <x:c r="B346" s="13" t="str">
        <x:v>5m</x:v>
      </x:c>
      <x:c r="C346" s="13" t="str">
        <x:v>event_local_4h</x:v>
      </x:c>
      <x:c r="D346" s="13" t="str">
        <x:v>confirmed_exchange_out_atom</x:v>
      </x:c>
      <x:c r="E346" s="13" t="str">
        <x:v>spot_range_stress</x:v>
      </x:c>
      <x:c r="F346" s="40" t="n">
        <x:v>-3</x:v>
      </x:c>
      <x:c r="G346" s="40" t="n">
        <x:v>-15</x:v>
      </x:c>
      <x:c r="H346" s="42" t="n">
        <x:v>0.09172718002418659</x:v>
      </x:c>
      <x:c r="I346" s="17" t="n">
        <x:v>45</x:v>
      </x:c>
    </x:row>
    <x:row r="347">
      <x:c r="A347" s="13" t="str">
        <x:v>5m_event_local_4h_confirmed_exchange_out_atom_to_spot_range_stress</x:v>
      </x:c>
      <x:c r="B347" s="13" t="str">
        <x:v>5m</x:v>
      </x:c>
      <x:c r="C347" s="13" t="str">
        <x:v>event_local_4h</x:v>
      </x:c>
      <x:c r="D347" s="13" t="str">
        <x:v>confirmed_exchange_out_atom</x:v>
      </x:c>
      <x:c r="E347" s="13" t="str">
        <x:v>spot_range_stress</x:v>
      </x:c>
      <x:c r="F347" s="40" t="n">
        <x:v>-2</x:v>
      </x:c>
      <x:c r="G347" s="40" t="n">
        <x:v>-10</x:v>
      </x:c>
      <x:c r="H347" s="42" t="n">
        <x:v>0.0451893851441807</x:v>
      </x:c>
      <x:c r="I347" s="17" t="n">
        <x:v>46</x:v>
      </x:c>
    </x:row>
    <x:row r="348">
      <x:c r="A348" s="13" t="str">
        <x:v>5m_event_local_4h_confirmed_exchange_out_atom_to_spot_range_stress</x:v>
      </x:c>
      <x:c r="B348" s="13" t="str">
        <x:v>5m</x:v>
      </x:c>
      <x:c r="C348" s="13" t="str">
        <x:v>event_local_4h</x:v>
      </x:c>
      <x:c r="D348" s="13" t="str">
        <x:v>confirmed_exchange_out_atom</x:v>
      </x:c>
      <x:c r="E348" s="13" t="str">
        <x:v>spot_range_stress</x:v>
      </x:c>
      <x:c r="F348" s="40" t="n">
        <x:v>-1</x:v>
      </x:c>
      <x:c r="G348" s="40" t="n">
        <x:v>-5</x:v>
      </x:c>
      <x:c r="H348" s="42" t="n">
        <x:v>0.10737789627056409</x:v>
      </x:c>
      <x:c r="I348" s="17" t="n">
        <x:v>47</x:v>
      </x:c>
    </x:row>
    <x:row r="349">
      <x:c r="A349" s="13" t="str">
        <x:v>5m_event_local_4h_confirmed_exchange_out_atom_to_spot_range_stress</x:v>
      </x:c>
      <x:c r="B349" s="13" t="str">
        <x:v>5m</x:v>
      </x:c>
      <x:c r="C349" s="13" t="str">
        <x:v>event_local_4h</x:v>
      </x:c>
      <x:c r="D349" s="13" t="str">
        <x:v>confirmed_exchange_out_atom</x:v>
      </x:c>
      <x:c r="E349" s="13" t="str">
        <x:v>spot_range_stress</x:v>
      </x:c>
      <x:c r="F349" s="40" t="n">
        <x:v>0</x:v>
      </x:c>
      <x:c r="G349" s="40" t="n">
        <x:v>0</x:v>
      </x:c>
      <x:c r="H349" s="42" t="n">
        <x:v>0.03675022515090423</x:v>
      </x:c>
      <x:c r="I349" s="17" t="n">
        <x:v>48</x:v>
      </x:c>
    </x:row>
    <x:row r="350">
      <x:c r="A350" s="13" t="str">
        <x:v>5m_event_local_4h_confirmed_exchange_out_atom_to_spot_range_stress</x:v>
      </x:c>
      <x:c r="B350" s="13" t="str">
        <x:v>5m</x:v>
      </x:c>
      <x:c r="C350" s="13" t="str">
        <x:v>event_local_4h</x:v>
      </x:c>
      <x:c r="D350" s="13" t="str">
        <x:v>confirmed_exchange_out_atom</x:v>
      </x:c>
      <x:c r="E350" s="13" t="str">
        <x:v>spot_range_stress</x:v>
      </x:c>
      <x:c r="F350" s="40" t="n">
        <x:v>1</x:v>
      </x:c>
      <x:c r="G350" s="40" t="n">
        <x:v>5</x:v>
      </x:c>
      <x:c r="H350" s="42" t="n">
        <x:v>0.11716883860639654</x:v>
      </x:c>
      <x:c r="I350" s="17" t="n">
        <x:v>47</x:v>
      </x:c>
    </x:row>
    <x:row r="351">
      <x:c r="A351" s="13" t="str">
        <x:v>5m_event_local_4h_confirmed_exchange_out_atom_to_spot_range_stress</x:v>
      </x:c>
      <x:c r="B351" s="13" t="str">
        <x:v>5m</x:v>
      </x:c>
      <x:c r="C351" s="13" t="str">
        <x:v>event_local_4h</x:v>
      </x:c>
      <x:c r="D351" s="13" t="str">
        <x:v>confirmed_exchange_out_atom</x:v>
      </x:c>
      <x:c r="E351" s="13" t="str">
        <x:v>spot_range_stress</x:v>
      </x:c>
      <x:c r="F351" s="40" t="n">
        <x:v>2</x:v>
      </x:c>
      <x:c r="G351" s="40" t="n">
        <x:v>10</x:v>
      </x:c>
      <x:c r="H351" s="42" t="n">
        <x:v>-0.05319582352805258</x:v>
      </x:c>
      <x:c r="I351" s="17" t="n">
        <x:v>46</x:v>
      </x:c>
    </x:row>
    <x:row r="352">
      <x:c r="A352" s="13" t="str">
        <x:v>5m_event_local_4h_confirmed_exchange_out_atom_to_spot_range_stress</x:v>
      </x:c>
      <x:c r="B352" s="13" t="str">
        <x:v>5m</x:v>
      </x:c>
      <x:c r="C352" s="13" t="str">
        <x:v>event_local_4h</x:v>
      </x:c>
      <x:c r="D352" s="13" t="str">
        <x:v>confirmed_exchange_out_atom</x:v>
      </x:c>
      <x:c r="E352" s="13" t="str">
        <x:v>spot_range_stress</x:v>
      </x:c>
      <x:c r="F352" s="40" t="n">
        <x:v>3</x:v>
      </x:c>
      <x:c r="G352" s="40" t="n">
        <x:v>15</x:v>
      </x:c>
      <x:c r="H352" s="42" t="n">
        <x:v>0.09724471792178568</x:v>
      </x:c>
      <x:c r="I352" s="17" t="n">
        <x:v>45</x:v>
      </x:c>
    </x:row>
    <x:row r="353">
      <x:c r="A353" s="13" t="str">
        <x:v>5m_event_local_4h_confirmed_exchange_out_atom_to_spot_range_stress</x:v>
      </x:c>
      <x:c r="B353" s="13" t="str">
        <x:v>5m</x:v>
      </x:c>
      <x:c r="C353" s="13" t="str">
        <x:v>event_local_4h</x:v>
      </x:c>
      <x:c r="D353" s="13" t="str">
        <x:v>confirmed_exchange_out_atom</x:v>
      </x:c>
      <x:c r="E353" s="13" t="str">
        <x:v>spot_range_stress</x:v>
      </x:c>
      <x:c r="F353" s="40" t="n">
        <x:v>4</x:v>
      </x:c>
      <x:c r="G353" s="40" t="n">
        <x:v>20</x:v>
      </x:c>
      <x:c r="H353" s="42" t="n">
        <x:v>-0.27593249512594636</x:v>
      </x:c>
      <x:c r="I353" s="17" t="n">
        <x:v>44</x:v>
      </x:c>
    </x:row>
    <x:row r="354">
      <x:c r="A354" s="13" t="str">
        <x:v>5m_event_local_4h_confirmed_exchange_out_atom_to_spot_range_stress</x:v>
      </x:c>
      <x:c r="B354" s="13" t="str">
        <x:v>5m</x:v>
      </x:c>
      <x:c r="C354" s="13" t="str">
        <x:v>event_local_4h</x:v>
      </x:c>
      <x:c r="D354" s="13" t="str">
        <x:v>confirmed_exchange_out_atom</x:v>
      </x:c>
      <x:c r="E354" s="13" t="str">
        <x:v>spot_range_stress</x:v>
      </x:c>
      <x:c r="F354" s="40" t="n">
        <x:v>5</x:v>
      </x:c>
      <x:c r="G354" s="40" t="n">
        <x:v>25</x:v>
      </x:c>
      <x:c r="H354" s="42" t="n">
        <x:v>0.06047871148009287</x:v>
      </x:c>
      <x:c r="I354" s="17" t="n">
        <x:v>43</x:v>
      </x:c>
    </x:row>
    <x:row r="355">
      <x:c r="A355" s="13" t="str">
        <x:v>5m_event_local_4h_confirmed_exchange_out_atom_to_spot_range_stress</x:v>
      </x:c>
      <x:c r="B355" s="13" t="str">
        <x:v>5m</x:v>
      </x:c>
      <x:c r="C355" s="13" t="str">
        <x:v>event_local_4h</x:v>
      </x:c>
      <x:c r="D355" s="13" t="str">
        <x:v>confirmed_exchange_out_atom</x:v>
      </x:c>
      <x:c r="E355" s="13" t="str">
        <x:v>spot_range_stress</x:v>
      </x:c>
      <x:c r="F355" s="40" t="n">
        <x:v>6</x:v>
      </x:c>
      <x:c r="G355" s="40" t="n">
        <x:v>30</x:v>
      </x:c>
      <x:c r="H355" s="42" t="n">
        <x:v>-0.05914547904563824</x:v>
      </x:c>
      <x:c r="I355" s="17" t="n">
        <x:v>42</x:v>
      </x:c>
    </x:row>
    <x:row r="356">
      <x:c r="A356" s="13" t="str">
        <x:v>5m_event_local_4h_confirmed_exchange_out_atom_to_spot_range_stress</x:v>
      </x:c>
      <x:c r="B356" s="13" t="str">
        <x:v>5m</x:v>
      </x:c>
      <x:c r="C356" s="13" t="str">
        <x:v>event_local_4h</x:v>
      </x:c>
      <x:c r="D356" s="13" t="str">
        <x:v>confirmed_exchange_out_atom</x:v>
      </x:c>
      <x:c r="E356" s="13" t="str">
        <x:v>spot_range_stress</x:v>
      </x:c>
      <x:c r="F356" s="40" t="n">
        <x:v>7</x:v>
      </x:c>
      <x:c r="G356" s="40" t="n">
        <x:v>35</x:v>
      </x:c>
      <x:c r="H356" s="42" t="n">
        <x:v>-0.1033883704065815</x:v>
      </x:c>
      <x:c r="I356" s="17" t="n">
        <x:v>41</x:v>
      </x:c>
    </x:row>
    <x:row r="357">
      <x:c r="A357" s="13" t="str">
        <x:v>5m_event_local_4h_confirmed_exchange_out_atom_to_spot_range_stress</x:v>
      </x:c>
      <x:c r="B357" s="13" t="str">
        <x:v>5m</x:v>
      </x:c>
      <x:c r="C357" s="13" t="str">
        <x:v>event_local_4h</x:v>
      </x:c>
      <x:c r="D357" s="13" t="str">
        <x:v>confirmed_exchange_out_atom</x:v>
      </x:c>
      <x:c r="E357" s="13" t="str">
        <x:v>spot_range_stress</x:v>
      </x:c>
      <x:c r="F357" s="40" t="n">
        <x:v>8</x:v>
      </x:c>
      <x:c r="G357" s="40" t="n">
        <x:v>40</x:v>
      </x:c>
      <x:c r="H357" s="42" t="n">
        <x:v>-0.22716286186886353</x:v>
      </x:c>
      <x:c r="I357" s="17" t="n">
        <x:v>40</x:v>
      </x:c>
    </x:row>
    <x:row r="358">
      <x:c r="A358" s="13" t="str">
        <x:v>5m_event_local_4h_confirmed_exchange_out_atom_to_spot_range_stress</x:v>
      </x:c>
      <x:c r="B358" s="13" t="str">
        <x:v>5m</x:v>
      </x:c>
      <x:c r="C358" s="13" t="str">
        <x:v>event_local_4h</x:v>
      </x:c>
      <x:c r="D358" s="13" t="str">
        <x:v>confirmed_exchange_out_atom</x:v>
      </x:c>
      <x:c r="E358" s="13" t="str">
        <x:v>spot_range_stress</x:v>
      </x:c>
      <x:c r="F358" s="40" t="n">
        <x:v>9</x:v>
      </x:c>
      <x:c r="G358" s="40" t="n">
        <x:v>45</x:v>
      </x:c>
      <x:c r="H358" s="42" t="n">
        <x:v>0.008634518679382442</x:v>
      </x:c>
      <x:c r="I358" s="17" t="n">
        <x:v>39</x:v>
      </x:c>
    </x:row>
    <x:row r="359">
      <x:c r="A359" s="13" t="str">
        <x:v>5m_event_local_4h_confirmed_exchange_out_atom_to_spot_range_stress</x:v>
      </x:c>
      <x:c r="B359" s="13" t="str">
        <x:v>5m</x:v>
      </x:c>
      <x:c r="C359" s="13" t="str">
        <x:v>event_local_4h</x:v>
      </x:c>
      <x:c r="D359" s="13" t="str">
        <x:v>confirmed_exchange_out_atom</x:v>
      </x:c>
      <x:c r="E359" s="13" t="str">
        <x:v>spot_range_stress</x:v>
      </x:c>
      <x:c r="F359" s="40" t="n">
        <x:v>10</x:v>
      </x:c>
      <x:c r="G359" s="40" t="n">
        <x:v>50</x:v>
      </x:c>
      <x:c r="H359" s="42" t="n">
        <x:v>-0.25134057217558164</x:v>
      </x:c>
      <x:c r="I359" s="17" t="n">
        <x:v>38</x:v>
      </x:c>
    </x:row>
    <x:row r="360">
      <x:c r="A360" s="13" t="str">
        <x:v>5m_event_local_4h_confirmed_exchange_out_atom_to_spot_range_stress</x:v>
      </x:c>
      <x:c r="B360" s="13" t="str">
        <x:v>5m</x:v>
      </x:c>
      <x:c r="C360" s="13" t="str">
        <x:v>event_local_4h</x:v>
      </x:c>
      <x:c r="D360" s="13" t="str">
        <x:v>confirmed_exchange_out_atom</x:v>
      </x:c>
      <x:c r="E360" s="13" t="str">
        <x:v>spot_range_stress</x:v>
      </x:c>
      <x:c r="F360" s="40" t="n">
        <x:v>11</x:v>
      </x:c>
      <x:c r="G360" s="40" t="n">
        <x:v>55</x:v>
      </x:c>
      <x:c r="H360" s="42" t="n">
        <x:v>0.08307664904018262</x:v>
      </x:c>
      <x:c r="I360" s="17" t="n">
        <x:v>37</x:v>
      </x:c>
    </x:row>
    <x:row r="361">
      <x:c r="A361" s="13" t="str">
        <x:v>5m_event_local_4h_confirmed_exchange_out_atom_to_spot_range_stress</x:v>
      </x:c>
      <x:c r="B361" s="13" t="str">
        <x:v>5m</x:v>
      </x:c>
      <x:c r="C361" s="13" t="str">
        <x:v>event_local_4h</x:v>
      </x:c>
      <x:c r="D361" s="13" t="str">
        <x:v>confirmed_exchange_out_atom</x:v>
      </x:c>
      <x:c r="E361" s="13" t="str">
        <x:v>spot_range_stress</x:v>
      </x:c>
      <x:c r="F361" s="40" t="n">
        <x:v>12</x:v>
      </x:c>
      <x:c r="G361" s="40" t="n">
        <x:v>60</x:v>
      </x:c>
      <x:c r="H361" s="42" t="n">
        <x:v>-0.21062802723578336</x:v>
      </x:c>
      <x:c r="I361" s="17" t="n">
        <x:v>36</x:v>
      </x:c>
    </x:row>
    <x:row r="362">
      <x:c r="A362" s="13" t="str">
        <x:v>5m_event_local_4h_unconfirmed_behavioral_in_atom_to_spot_range_stress</x:v>
      </x:c>
      <x:c r="B362" s="13" t="str">
        <x:v>5m</x:v>
      </x:c>
      <x:c r="C362" s="13" t="str">
        <x:v>event_local_4h</x:v>
      </x:c>
      <x:c r="D362" s="13" t="str">
        <x:v>unconfirmed_behavioral_in_atom</x:v>
      </x:c>
      <x:c r="E362" s="13" t="str">
        <x:v>spot_range_stress</x:v>
      </x:c>
      <x:c r="F362" s="40" t="n">
        <x:v>-12</x:v>
      </x:c>
      <x:c r="G362" s="40" t="n">
        <x:v>-60</x:v>
      </x:c>
      <x:c r="H362" s="42" t="n">
        <x:v>0.1774753900970408</x:v>
      </x:c>
      <x:c r="I362" s="17" t="n">
        <x:v>36</x:v>
      </x:c>
    </x:row>
    <x:row r="363">
      <x:c r="A363" s="13" t="str">
        <x:v>5m_event_local_4h_unconfirmed_behavioral_in_atom_to_spot_range_stress</x:v>
      </x:c>
      <x:c r="B363" s="13" t="str">
        <x:v>5m</x:v>
      </x:c>
      <x:c r="C363" s="13" t="str">
        <x:v>event_local_4h</x:v>
      </x:c>
      <x:c r="D363" s="13" t="str">
        <x:v>unconfirmed_behavioral_in_atom</x:v>
      </x:c>
      <x:c r="E363" s="13" t="str">
        <x:v>spot_range_stress</x:v>
      </x:c>
      <x:c r="F363" s="40" t="n">
        <x:v>-11</x:v>
      </x:c>
      <x:c r="G363" s="40" t="n">
        <x:v>-55</x:v>
      </x:c>
      <x:c r="H363" s="42" t="n">
        <x:v>0.16255021821658863</x:v>
      </x:c>
      <x:c r="I363" s="17" t="n">
        <x:v>37</x:v>
      </x:c>
    </x:row>
    <x:row r="364">
      <x:c r="A364" s="13" t="str">
        <x:v>5m_event_local_4h_unconfirmed_behavioral_in_atom_to_spot_range_stress</x:v>
      </x:c>
      <x:c r="B364" s="13" t="str">
        <x:v>5m</x:v>
      </x:c>
      <x:c r="C364" s="13" t="str">
        <x:v>event_local_4h</x:v>
      </x:c>
      <x:c r="D364" s="13" t="str">
        <x:v>unconfirmed_behavioral_in_atom</x:v>
      </x:c>
      <x:c r="E364" s="13" t="str">
        <x:v>spot_range_stress</x:v>
      </x:c>
      <x:c r="F364" s="40" t="n">
        <x:v>-10</x:v>
      </x:c>
      <x:c r="G364" s="40" t="n">
        <x:v>-50</x:v>
      </x:c>
      <x:c r="H364" s="42" t="n">
        <x:v>0.1136070479861595</x:v>
      </x:c>
      <x:c r="I364" s="17" t="n">
        <x:v>38</x:v>
      </x:c>
    </x:row>
    <x:row r="365">
      <x:c r="A365" s="13" t="str">
        <x:v>5m_event_local_4h_unconfirmed_behavioral_in_atom_to_spot_range_stress</x:v>
      </x:c>
      <x:c r="B365" s="13" t="str">
        <x:v>5m</x:v>
      </x:c>
      <x:c r="C365" s="13" t="str">
        <x:v>event_local_4h</x:v>
      </x:c>
      <x:c r="D365" s="13" t="str">
        <x:v>unconfirmed_behavioral_in_atom</x:v>
      </x:c>
      <x:c r="E365" s="13" t="str">
        <x:v>spot_range_stress</x:v>
      </x:c>
      <x:c r="F365" s="40" t="n">
        <x:v>-9</x:v>
      </x:c>
      <x:c r="G365" s="40" t="n">
        <x:v>-45</x:v>
      </x:c>
      <x:c r="H365" s="42" t="n">
        <x:v>0.06327760381740892</x:v>
      </x:c>
      <x:c r="I365" s="17" t="n">
        <x:v>39</x:v>
      </x:c>
    </x:row>
    <x:row r="366">
      <x:c r="A366" s="13" t="str">
        <x:v>5m_event_local_4h_unconfirmed_behavioral_in_atom_to_spot_range_stress</x:v>
      </x:c>
      <x:c r="B366" s="13" t="str">
        <x:v>5m</x:v>
      </x:c>
      <x:c r="C366" s="13" t="str">
        <x:v>event_local_4h</x:v>
      </x:c>
      <x:c r="D366" s="13" t="str">
        <x:v>unconfirmed_behavioral_in_atom</x:v>
      </x:c>
      <x:c r="E366" s="13" t="str">
        <x:v>spot_range_stress</x:v>
      </x:c>
      <x:c r="F366" s="40" t="n">
        <x:v>-8</x:v>
      </x:c>
      <x:c r="G366" s="40" t="n">
        <x:v>-40</x:v>
      </x:c>
      <x:c r="H366" s="42" t="n">
        <x:v>0.05588128622404978</x:v>
      </x:c>
      <x:c r="I366" s="17" t="n">
        <x:v>40</x:v>
      </x:c>
    </x:row>
    <x:row r="367">
      <x:c r="A367" s="13" t="str">
        <x:v>5m_event_local_4h_unconfirmed_behavioral_in_atom_to_spot_range_stress</x:v>
      </x:c>
      <x:c r="B367" s="13" t="str">
        <x:v>5m</x:v>
      </x:c>
      <x:c r="C367" s="13" t="str">
        <x:v>event_local_4h</x:v>
      </x:c>
      <x:c r="D367" s="13" t="str">
        <x:v>unconfirmed_behavioral_in_atom</x:v>
      </x:c>
      <x:c r="E367" s="13" t="str">
        <x:v>spot_range_stress</x:v>
      </x:c>
      <x:c r="F367" s="40" t="n">
        <x:v>-7</x:v>
      </x:c>
      <x:c r="G367" s="40" t="n">
        <x:v>-35</x:v>
      </x:c>
      <x:c r="H367" s="42" t="n">
        <x:v>0.10770014616194336</x:v>
      </x:c>
      <x:c r="I367" s="17" t="n">
        <x:v>41</x:v>
      </x:c>
    </x:row>
    <x:row r="368">
      <x:c r="A368" s="13" t="str">
        <x:v>5m_event_local_4h_unconfirmed_behavioral_in_atom_to_spot_range_stress</x:v>
      </x:c>
      <x:c r="B368" s="13" t="str">
        <x:v>5m</x:v>
      </x:c>
      <x:c r="C368" s="13" t="str">
        <x:v>event_local_4h</x:v>
      </x:c>
      <x:c r="D368" s="13" t="str">
        <x:v>unconfirmed_behavioral_in_atom</x:v>
      </x:c>
      <x:c r="E368" s="13" t="str">
        <x:v>spot_range_stress</x:v>
      </x:c>
      <x:c r="F368" s="40" t="n">
        <x:v>-6</x:v>
      </x:c>
      <x:c r="G368" s="40" t="n">
        <x:v>-30</x:v>
      </x:c>
      <x:c r="H368" s="42" t="n">
        <x:v>0.17998952856422892</x:v>
      </x:c>
      <x:c r="I368" s="17" t="n">
        <x:v>42</x:v>
      </x:c>
    </x:row>
    <x:row r="369">
      <x:c r="A369" s="13" t="str">
        <x:v>5m_event_local_4h_unconfirmed_behavioral_in_atom_to_spot_range_stress</x:v>
      </x:c>
      <x:c r="B369" s="13" t="str">
        <x:v>5m</x:v>
      </x:c>
      <x:c r="C369" s="13" t="str">
        <x:v>event_local_4h</x:v>
      </x:c>
      <x:c r="D369" s="13" t="str">
        <x:v>unconfirmed_behavioral_in_atom</x:v>
      </x:c>
      <x:c r="E369" s="13" t="str">
        <x:v>spot_range_stress</x:v>
      </x:c>
      <x:c r="F369" s="40" t="n">
        <x:v>-5</x:v>
      </x:c>
      <x:c r="G369" s="40" t="n">
        <x:v>-25</x:v>
      </x:c>
      <x:c r="H369" s="42" t="n">
        <x:v>0.14426585581074272</x:v>
      </x:c>
      <x:c r="I369" s="17" t="n">
        <x:v>43</x:v>
      </x:c>
    </x:row>
    <x:row r="370">
      <x:c r="A370" s="13" t="str">
        <x:v>5m_event_local_4h_unconfirmed_behavioral_in_atom_to_spot_range_stress</x:v>
      </x:c>
      <x:c r="B370" s="13" t="str">
        <x:v>5m</x:v>
      </x:c>
      <x:c r="C370" s="13" t="str">
        <x:v>event_local_4h</x:v>
      </x:c>
      <x:c r="D370" s="13" t="str">
        <x:v>unconfirmed_behavioral_in_atom</x:v>
      </x:c>
      <x:c r="E370" s="13" t="str">
        <x:v>spot_range_stress</x:v>
      </x:c>
      <x:c r="F370" s="40" t="n">
        <x:v>-4</x:v>
      </x:c>
      <x:c r="G370" s="40" t="n">
        <x:v>-20</x:v>
      </x:c>
      <x:c r="H370" s="42" t="n">
        <x:v>-0.060044319623479066</x:v>
      </x:c>
      <x:c r="I370" s="17" t="n">
        <x:v>44</x:v>
      </x:c>
    </x:row>
    <x:row r="371">
      <x:c r="A371" s="13" t="str">
        <x:v>5m_event_local_4h_unconfirmed_behavioral_in_atom_to_spot_range_stress</x:v>
      </x:c>
      <x:c r="B371" s="13" t="str">
        <x:v>5m</x:v>
      </x:c>
      <x:c r="C371" s="13" t="str">
        <x:v>event_local_4h</x:v>
      </x:c>
      <x:c r="D371" s="13" t="str">
        <x:v>unconfirmed_behavioral_in_atom</x:v>
      </x:c>
      <x:c r="E371" s="13" t="str">
        <x:v>spot_range_stress</x:v>
      </x:c>
      <x:c r="F371" s="40" t="n">
        <x:v>-3</x:v>
      </x:c>
      <x:c r="G371" s="40" t="n">
        <x:v>-15</x:v>
      </x:c>
      <x:c r="H371" s="42" t="n">
        <x:v>-0.29076817021633905</x:v>
      </x:c>
      <x:c r="I371" s="17" t="n">
        <x:v>45</x:v>
      </x:c>
    </x:row>
    <x:row r="372">
      <x:c r="A372" s="13" t="str">
        <x:v>5m_event_local_4h_unconfirmed_behavioral_in_atom_to_spot_range_stress</x:v>
      </x:c>
      <x:c r="B372" s="13" t="str">
        <x:v>5m</x:v>
      </x:c>
      <x:c r="C372" s="13" t="str">
        <x:v>event_local_4h</x:v>
      </x:c>
      <x:c r="D372" s="13" t="str">
        <x:v>unconfirmed_behavioral_in_atom</x:v>
      </x:c>
      <x:c r="E372" s="13" t="str">
        <x:v>spot_range_stress</x:v>
      </x:c>
      <x:c r="F372" s="40" t="n">
        <x:v>-2</x:v>
      </x:c>
      <x:c r="G372" s="40" t="n">
        <x:v>-10</x:v>
      </x:c>
      <x:c r="H372" s="42" t="n">
        <x:v>-0.03986594861360328</x:v>
      </x:c>
      <x:c r="I372" s="17" t="n">
        <x:v>46</x:v>
      </x:c>
    </x:row>
    <x:row r="373">
      <x:c r="A373" s="13" t="str">
        <x:v>5m_event_local_4h_unconfirmed_behavioral_in_atom_to_spot_range_stress</x:v>
      </x:c>
      <x:c r="B373" s="13" t="str">
        <x:v>5m</x:v>
      </x:c>
      <x:c r="C373" s="13" t="str">
        <x:v>event_local_4h</x:v>
      </x:c>
      <x:c r="D373" s="13" t="str">
        <x:v>unconfirmed_behavioral_in_atom</x:v>
      </x:c>
      <x:c r="E373" s="13" t="str">
        <x:v>spot_range_stress</x:v>
      </x:c>
      <x:c r="F373" s="40" t="n">
        <x:v>-1</x:v>
      </x:c>
      <x:c r="G373" s="40" t="n">
        <x:v>-5</x:v>
      </x:c>
      <x:c r="H373" s="42" t="n">
        <x:v>-0.010161281547787105</x:v>
      </x:c>
      <x:c r="I373" s="17" t="n">
        <x:v>47</x:v>
      </x:c>
    </x:row>
    <x:row r="374">
      <x:c r="A374" s="13" t="str">
        <x:v>5m_event_local_4h_unconfirmed_behavioral_in_atom_to_spot_range_stress</x:v>
      </x:c>
      <x:c r="B374" s="13" t="str">
        <x:v>5m</x:v>
      </x:c>
      <x:c r="C374" s="13" t="str">
        <x:v>event_local_4h</x:v>
      </x:c>
      <x:c r="D374" s="13" t="str">
        <x:v>unconfirmed_behavioral_in_atom</x:v>
      </x:c>
      <x:c r="E374" s="13" t="str">
        <x:v>spot_range_stress</x:v>
      </x:c>
      <x:c r="F374" s="40" t="n">
        <x:v>0</x:v>
      </x:c>
      <x:c r="G374" s="40" t="n">
        <x:v>0</x:v>
      </x:c>
      <x:c r="H374" s="42" t="n">
        <x:v>-0.006575234704802903</x:v>
      </x:c>
      <x:c r="I374" s="17" t="n">
        <x:v>48</x:v>
      </x:c>
    </x:row>
    <x:row r="375">
      <x:c r="A375" s="13" t="str">
        <x:v>5m_event_local_4h_unconfirmed_behavioral_in_atom_to_spot_range_stress</x:v>
      </x:c>
      <x:c r="B375" s="13" t="str">
        <x:v>5m</x:v>
      </x:c>
      <x:c r="C375" s="13" t="str">
        <x:v>event_local_4h</x:v>
      </x:c>
      <x:c r="D375" s="13" t="str">
        <x:v>unconfirmed_behavioral_in_atom</x:v>
      </x:c>
      <x:c r="E375" s="13" t="str">
        <x:v>spot_range_stress</x:v>
      </x:c>
      <x:c r="F375" s="40" t="n">
        <x:v>1</x:v>
      </x:c>
      <x:c r="G375" s="40" t="n">
        <x:v>5</x:v>
      </x:c>
      <x:c r="H375" s="42" t="n">
        <x:v>0.10187222724557264</x:v>
      </x:c>
      <x:c r="I375" s="17" t="n">
        <x:v>47</x:v>
      </x:c>
    </x:row>
    <x:row r="376">
      <x:c r="A376" s="13" t="str">
        <x:v>5m_event_local_4h_unconfirmed_behavioral_in_atom_to_spot_range_stress</x:v>
      </x:c>
      <x:c r="B376" s="13" t="str">
        <x:v>5m</x:v>
      </x:c>
      <x:c r="C376" s="13" t="str">
        <x:v>event_local_4h</x:v>
      </x:c>
      <x:c r="D376" s="13" t="str">
        <x:v>unconfirmed_behavioral_in_atom</x:v>
      </x:c>
      <x:c r="E376" s="13" t="str">
        <x:v>spot_range_stress</x:v>
      </x:c>
      <x:c r="F376" s="40" t="n">
        <x:v>2</x:v>
      </x:c>
      <x:c r="G376" s="40" t="n">
        <x:v>10</x:v>
      </x:c>
      <x:c r="H376" s="42" t="n">
        <x:v>0.03809866803791097</x:v>
      </x:c>
      <x:c r="I376" s="17" t="n">
        <x:v>46</x:v>
      </x:c>
    </x:row>
    <x:row r="377">
      <x:c r="A377" s="13" t="str">
        <x:v>5m_event_local_4h_unconfirmed_behavioral_in_atom_to_spot_range_stress</x:v>
      </x:c>
      <x:c r="B377" s="13" t="str">
        <x:v>5m</x:v>
      </x:c>
      <x:c r="C377" s="13" t="str">
        <x:v>event_local_4h</x:v>
      </x:c>
      <x:c r="D377" s="13" t="str">
        <x:v>unconfirmed_behavioral_in_atom</x:v>
      </x:c>
      <x:c r="E377" s="13" t="str">
        <x:v>spot_range_stress</x:v>
      </x:c>
      <x:c r="F377" s="40" t="n">
        <x:v>3</x:v>
      </x:c>
      <x:c r="G377" s="40" t="n">
        <x:v>15</x:v>
      </x:c>
      <x:c r="H377" s="42" t="n">
        <x:v>0.06793837525376523</x:v>
      </x:c>
      <x:c r="I377" s="17" t="n">
        <x:v>45</x:v>
      </x:c>
    </x:row>
    <x:row r="378">
      <x:c r="A378" s="13" t="str">
        <x:v>5m_event_local_4h_unconfirmed_behavioral_in_atom_to_spot_range_stress</x:v>
      </x:c>
      <x:c r="B378" s="13" t="str">
        <x:v>5m</x:v>
      </x:c>
      <x:c r="C378" s="13" t="str">
        <x:v>event_local_4h</x:v>
      </x:c>
      <x:c r="D378" s="13" t="str">
        <x:v>unconfirmed_behavioral_in_atom</x:v>
      </x:c>
      <x:c r="E378" s="13" t="str">
        <x:v>spot_range_stress</x:v>
      </x:c>
      <x:c r="F378" s="40" t="n">
        <x:v>4</x:v>
      </x:c>
      <x:c r="G378" s="40" t="n">
        <x:v>20</x:v>
      </x:c>
      <x:c r="H378" s="42" t="n">
        <x:v>0.10817510432978203</x:v>
      </x:c>
      <x:c r="I378" s="17" t="n">
        <x:v>44</x:v>
      </x:c>
    </x:row>
    <x:row r="379">
      <x:c r="A379" s="13" t="str">
        <x:v>5m_event_local_4h_unconfirmed_behavioral_in_atom_to_spot_range_stress</x:v>
      </x:c>
      <x:c r="B379" s="13" t="str">
        <x:v>5m</x:v>
      </x:c>
      <x:c r="C379" s="13" t="str">
        <x:v>event_local_4h</x:v>
      </x:c>
      <x:c r="D379" s="13" t="str">
        <x:v>unconfirmed_behavioral_in_atom</x:v>
      </x:c>
      <x:c r="E379" s="13" t="str">
        <x:v>spot_range_stress</x:v>
      </x:c>
      <x:c r="F379" s="40" t="n">
        <x:v>5</x:v>
      </x:c>
      <x:c r="G379" s="40" t="n">
        <x:v>25</x:v>
      </x:c>
      <x:c r="H379" s="42" t="n">
        <x:v>0.01982558637094974</x:v>
      </x:c>
      <x:c r="I379" s="17" t="n">
        <x:v>43</x:v>
      </x:c>
    </x:row>
    <x:row r="380">
      <x:c r="A380" s="13" t="str">
        <x:v>5m_event_local_4h_unconfirmed_behavioral_in_atom_to_spot_range_stress</x:v>
      </x:c>
      <x:c r="B380" s="13" t="str">
        <x:v>5m</x:v>
      </x:c>
      <x:c r="C380" s="13" t="str">
        <x:v>event_local_4h</x:v>
      </x:c>
      <x:c r="D380" s="13" t="str">
        <x:v>unconfirmed_behavioral_in_atom</x:v>
      </x:c>
      <x:c r="E380" s="13" t="str">
        <x:v>spot_range_stress</x:v>
      </x:c>
      <x:c r="F380" s="40" t="n">
        <x:v>6</x:v>
      </x:c>
      <x:c r="G380" s="40" t="n">
        <x:v>30</x:v>
      </x:c>
      <x:c r="H380" s="42" t="n">
        <x:v>-0.1382617244469698</x:v>
      </x:c>
      <x:c r="I380" s="17" t="n">
        <x:v>42</x:v>
      </x:c>
    </x:row>
    <x:row r="381">
      <x:c r="A381" s="13" t="str">
        <x:v>5m_event_local_4h_unconfirmed_behavioral_in_atom_to_spot_range_stress</x:v>
      </x:c>
      <x:c r="B381" s="13" t="str">
        <x:v>5m</x:v>
      </x:c>
      <x:c r="C381" s="13" t="str">
        <x:v>event_local_4h</x:v>
      </x:c>
      <x:c r="D381" s="13" t="str">
        <x:v>unconfirmed_behavioral_in_atom</x:v>
      </x:c>
      <x:c r="E381" s="13" t="str">
        <x:v>spot_range_stress</x:v>
      </x:c>
      <x:c r="F381" s="40" t="n">
        <x:v>7</x:v>
      </x:c>
      <x:c r="G381" s="40" t="n">
        <x:v>35</x:v>
      </x:c>
      <x:c r="H381" s="42" t="n">
        <x:v>-0.21580746960665217</x:v>
      </x:c>
      <x:c r="I381" s="17" t="n">
        <x:v>41</x:v>
      </x:c>
    </x:row>
    <x:row r="382">
      <x:c r="A382" s="13" t="str">
        <x:v>5m_event_local_4h_unconfirmed_behavioral_in_atom_to_spot_range_stress</x:v>
      </x:c>
      <x:c r="B382" s="13" t="str">
        <x:v>5m</x:v>
      </x:c>
      <x:c r="C382" s="13" t="str">
        <x:v>event_local_4h</x:v>
      </x:c>
      <x:c r="D382" s="13" t="str">
        <x:v>unconfirmed_behavioral_in_atom</x:v>
      </x:c>
      <x:c r="E382" s="13" t="str">
        <x:v>spot_range_stress</x:v>
      </x:c>
      <x:c r="F382" s="40" t="n">
        <x:v>8</x:v>
      </x:c>
      <x:c r="G382" s="40" t="n">
        <x:v>40</x:v>
      </x:c>
      <x:c r="H382" s="42" t="n">
        <x:v>-0.215249824741659</x:v>
      </x:c>
      <x:c r="I382" s="17" t="n">
        <x:v>40</x:v>
      </x:c>
    </x:row>
    <x:row r="383">
      <x:c r="A383" s="13" t="str">
        <x:v>5m_event_local_4h_unconfirmed_behavioral_in_atom_to_spot_range_stress</x:v>
      </x:c>
      <x:c r="B383" s="13" t="str">
        <x:v>5m</x:v>
      </x:c>
      <x:c r="C383" s="13" t="str">
        <x:v>event_local_4h</x:v>
      </x:c>
      <x:c r="D383" s="13" t="str">
        <x:v>unconfirmed_behavioral_in_atom</x:v>
      </x:c>
      <x:c r="E383" s="13" t="str">
        <x:v>spot_range_stress</x:v>
      </x:c>
      <x:c r="F383" s="40" t="n">
        <x:v>9</x:v>
      </x:c>
      <x:c r="G383" s="40" t="n">
        <x:v>45</x:v>
      </x:c>
      <x:c r="H383" s="42" t="n">
        <x:v>-0.5058765246019289</x:v>
      </x:c>
      <x:c r="I383" s="17" t="n">
        <x:v>39</x:v>
      </x:c>
    </x:row>
    <x:row r="384">
      <x:c r="A384" s="13" t="str">
        <x:v>5m_event_local_4h_unconfirmed_behavioral_in_atom_to_spot_range_stress</x:v>
      </x:c>
      <x:c r="B384" s="13" t="str">
        <x:v>5m</x:v>
      </x:c>
      <x:c r="C384" s="13" t="str">
        <x:v>event_local_4h</x:v>
      </x:c>
      <x:c r="D384" s="13" t="str">
        <x:v>unconfirmed_behavioral_in_atom</x:v>
      </x:c>
      <x:c r="E384" s="13" t="str">
        <x:v>spot_range_stress</x:v>
      </x:c>
      <x:c r="F384" s="40" t="n">
        <x:v>10</x:v>
      </x:c>
      <x:c r="G384" s="40" t="n">
        <x:v>50</x:v>
      </x:c>
      <x:c r="H384" s="42" t="n">
        <x:v>-0.1431577002183437</x:v>
      </x:c>
      <x:c r="I384" s="17" t="n">
        <x:v>38</x:v>
      </x:c>
    </x:row>
    <x:row r="385">
      <x:c r="A385" s="13" t="str">
        <x:v>5m_event_local_4h_unconfirmed_behavioral_in_atom_to_spot_range_stress</x:v>
      </x:c>
      <x:c r="B385" s="13" t="str">
        <x:v>5m</x:v>
      </x:c>
      <x:c r="C385" s="13" t="str">
        <x:v>event_local_4h</x:v>
      </x:c>
      <x:c r="D385" s="13" t="str">
        <x:v>unconfirmed_behavioral_in_atom</x:v>
      </x:c>
      <x:c r="E385" s="13" t="str">
        <x:v>spot_range_stress</x:v>
      </x:c>
      <x:c r="F385" s="40" t="n">
        <x:v>11</x:v>
      </x:c>
      <x:c r="G385" s="40" t="n">
        <x:v>55</x:v>
      </x:c>
      <x:c r="H385" s="42" t="n">
        <x:v>-0.21551822759025838</x:v>
      </x:c>
      <x:c r="I385" s="17" t="n">
        <x:v>37</x:v>
      </x:c>
    </x:row>
    <x:row r="386">
      <x:c r="A386" s="13" t="str">
        <x:v>5m_event_local_4h_unconfirmed_behavioral_in_atom_to_spot_range_stress</x:v>
      </x:c>
      <x:c r="B386" s="13" t="str">
        <x:v>5m</x:v>
      </x:c>
      <x:c r="C386" s="13" t="str">
        <x:v>event_local_4h</x:v>
      </x:c>
      <x:c r="D386" s="13" t="str">
        <x:v>unconfirmed_behavioral_in_atom</x:v>
      </x:c>
      <x:c r="E386" s="13" t="str">
        <x:v>spot_range_stress</x:v>
      </x:c>
      <x:c r="F386" s="40" t="n">
        <x:v>12</x:v>
      </x:c>
      <x:c r="G386" s="40" t="n">
        <x:v>60</x:v>
      </x:c>
      <x:c r="H386" s="42" t="n">
        <x:v>-0.05699353696292593</x:v>
      </x:c>
      <x:c r="I386" s="17" t="n">
        <x:v>36</x:v>
      </x:c>
    </x:row>
    <x:row r="387">
      <x:c r="A387" s="13" t="str">
        <x:v>5m_event_local_4h_all_behavioral_candidate_in_atom_to_spot_range_stress</x:v>
      </x:c>
      <x:c r="B387" s="13" t="str">
        <x:v>5m</x:v>
      </x:c>
      <x:c r="C387" s="13" t="str">
        <x:v>event_local_4h</x:v>
      </x:c>
      <x:c r="D387" s="13" t="str">
        <x:v>all_behavioral_candidate_in_atom</x:v>
      </x:c>
      <x:c r="E387" s="13" t="str">
        <x:v>spot_range_stress</x:v>
      </x:c>
      <x:c r="F387" s="40" t="n">
        <x:v>-12</x:v>
      </x:c>
      <x:c r="G387" s="40" t="n">
        <x:v>-60</x:v>
      </x:c>
      <x:c r="H387" s="42" t="n">
        <x:v>0.2087121614978912</x:v>
      </x:c>
      <x:c r="I387" s="17" t="n">
        <x:v>36</x:v>
      </x:c>
    </x:row>
    <x:row r="388">
      <x:c r="A388" s="13" t="str">
        <x:v>5m_event_local_4h_all_behavioral_candidate_in_atom_to_spot_range_stress</x:v>
      </x:c>
      <x:c r="B388" s="13" t="str">
        <x:v>5m</x:v>
      </x:c>
      <x:c r="C388" s="13" t="str">
        <x:v>event_local_4h</x:v>
      </x:c>
      <x:c r="D388" s="13" t="str">
        <x:v>all_behavioral_candidate_in_atom</x:v>
      </x:c>
      <x:c r="E388" s="13" t="str">
        <x:v>spot_range_stress</x:v>
      </x:c>
      <x:c r="F388" s="40" t="n">
        <x:v>-11</x:v>
      </x:c>
      <x:c r="G388" s="40" t="n">
        <x:v>-55</x:v>
      </x:c>
      <x:c r="H388" s="42" t="n">
        <x:v>0.1539533460184449</x:v>
      </x:c>
      <x:c r="I388" s="17" t="n">
        <x:v>37</x:v>
      </x:c>
    </x:row>
    <x:row r="389">
      <x:c r="A389" s="13" t="str">
        <x:v>5m_event_local_4h_all_behavioral_candidate_in_atom_to_spot_range_stress</x:v>
      </x:c>
      <x:c r="B389" s="13" t="str">
        <x:v>5m</x:v>
      </x:c>
      <x:c r="C389" s="13" t="str">
        <x:v>event_local_4h</x:v>
      </x:c>
      <x:c r="D389" s="13" t="str">
        <x:v>all_behavioral_candidate_in_atom</x:v>
      </x:c>
      <x:c r="E389" s="13" t="str">
        <x:v>spot_range_stress</x:v>
      </x:c>
      <x:c r="F389" s="40" t="n">
        <x:v>-10</x:v>
      </x:c>
      <x:c r="G389" s="40" t="n">
        <x:v>-50</x:v>
      </x:c>
      <x:c r="H389" s="42" t="n">
        <x:v>0.10670875793412046</x:v>
      </x:c>
      <x:c r="I389" s="17" t="n">
        <x:v>38</x:v>
      </x:c>
    </x:row>
    <x:row r="390">
      <x:c r="A390" s="13" t="str">
        <x:v>5m_event_local_4h_all_behavioral_candidate_in_atom_to_spot_range_stress</x:v>
      </x:c>
      <x:c r="B390" s="13" t="str">
        <x:v>5m</x:v>
      </x:c>
      <x:c r="C390" s="13" t="str">
        <x:v>event_local_4h</x:v>
      </x:c>
      <x:c r="D390" s="13" t="str">
        <x:v>all_behavioral_candidate_in_atom</x:v>
      </x:c>
      <x:c r="E390" s="13" t="str">
        <x:v>spot_range_stress</x:v>
      </x:c>
      <x:c r="F390" s="40" t="n">
        <x:v>-9</x:v>
      </x:c>
      <x:c r="G390" s="40" t="n">
        <x:v>-45</x:v>
      </x:c>
      <x:c r="H390" s="42" t="n">
        <x:v>0.066986407944399</x:v>
      </x:c>
      <x:c r="I390" s="17" t="n">
        <x:v>39</x:v>
      </x:c>
    </x:row>
    <x:row r="391">
      <x:c r="A391" s="13" t="str">
        <x:v>5m_event_local_4h_all_behavioral_candidate_in_atom_to_spot_range_stress</x:v>
      </x:c>
      <x:c r="B391" s="13" t="str">
        <x:v>5m</x:v>
      </x:c>
      <x:c r="C391" s="13" t="str">
        <x:v>event_local_4h</x:v>
      </x:c>
      <x:c r="D391" s="13" t="str">
        <x:v>all_behavioral_candidate_in_atom</x:v>
      </x:c>
      <x:c r="E391" s="13" t="str">
        <x:v>spot_range_stress</x:v>
      </x:c>
      <x:c r="F391" s="40" t="n">
        <x:v>-8</x:v>
      </x:c>
      <x:c r="G391" s="40" t="n">
        <x:v>-40</x:v>
      </x:c>
      <x:c r="H391" s="42" t="n">
        <x:v>0.053870026920127545</x:v>
      </x:c>
      <x:c r="I391" s="17" t="n">
        <x:v>40</x:v>
      </x:c>
    </x:row>
    <x:row r="392">
      <x:c r="A392" s="13" t="str">
        <x:v>5m_event_local_4h_all_behavioral_candidate_in_atom_to_spot_range_stress</x:v>
      </x:c>
      <x:c r="B392" s="13" t="str">
        <x:v>5m</x:v>
      </x:c>
      <x:c r="C392" s="13" t="str">
        <x:v>event_local_4h</x:v>
      </x:c>
      <x:c r="D392" s="13" t="str">
        <x:v>all_behavioral_candidate_in_atom</x:v>
      </x:c>
      <x:c r="E392" s="13" t="str">
        <x:v>spot_range_stress</x:v>
      </x:c>
      <x:c r="F392" s="40" t="n">
        <x:v>-7</x:v>
      </x:c>
      <x:c r="G392" s="40" t="n">
        <x:v>-35</x:v>
      </x:c>
      <x:c r="H392" s="42" t="n">
        <x:v>0.11542384282806857</x:v>
      </x:c>
      <x:c r="I392" s="17" t="n">
        <x:v>41</x:v>
      </x:c>
    </x:row>
    <x:row r="393">
      <x:c r="A393" s="13" t="str">
        <x:v>5m_event_local_4h_all_behavioral_candidate_in_atom_to_spot_range_stress</x:v>
      </x:c>
      <x:c r="B393" s="13" t="str">
        <x:v>5m</x:v>
      </x:c>
      <x:c r="C393" s="13" t="str">
        <x:v>event_local_4h</x:v>
      </x:c>
      <x:c r="D393" s="13" t="str">
        <x:v>all_behavioral_candidate_in_atom</x:v>
      </x:c>
      <x:c r="E393" s="13" t="str">
        <x:v>spot_range_stress</x:v>
      </x:c>
      <x:c r="F393" s="40" t="n">
        <x:v>-6</x:v>
      </x:c>
      <x:c r="G393" s="40" t="n">
        <x:v>-30</x:v>
      </x:c>
      <x:c r="H393" s="42" t="n">
        <x:v>0.17690685780896945</x:v>
      </x:c>
      <x:c r="I393" s="17" t="n">
        <x:v>42</x:v>
      </x:c>
    </x:row>
    <x:row r="394">
      <x:c r="A394" s="13" t="str">
        <x:v>5m_event_local_4h_all_behavioral_candidate_in_atom_to_spot_range_stress</x:v>
      </x:c>
      <x:c r="B394" s="13" t="str">
        <x:v>5m</x:v>
      </x:c>
      <x:c r="C394" s="13" t="str">
        <x:v>event_local_4h</x:v>
      </x:c>
      <x:c r="D394" s="13" t="str">
        <x:v>all_behavioral_candidate_in_atom</x:v>
      </x:c>
      <x:c r="E394" s="13" t="str">
        <x:v>spot_range_stress</x:v>
      </x:c>
      <x:c r="F394" s="40" t="n">
        <x:v>-5</x:v>
      </x:c>
      <x:c r="G394" s="40" t="n">
        <x:v>-25</x:v>
      </x:c>
      <x:c r="H394" s="42" t="n">
        <x:v>0.1470718261270137</x:v>
      </x:c>
      <x:c r="I394" s="17" t="n">
        <x:v>43</x:v>
      </x:c>
    </x:row>
    <x:row r="395">
      <x:c r="A395" s="13" t="str">
        <x:v>5m_event_local_4h_all_behavioral_candidate_in_atom_to_spot_range_stress</x:v>
      </x:c>
      <x:c r="B395" s="13" t="str">
        <x:v>5m</x:v>
      </x:c>
      <x:c r="C395" s="13" t="str">
        <x:v>event_local_4h</x:v>
      </x:c>
      <x:c r="D395" s="13" t="str">
        <x:v>all_behavioral_candidate_in_atom</x:v>
      </x:c>
      <x:c r="E395" s="13" t="str">
        <x:v>spot_range_stress</x:v>
      </x:c>
      <x:c r="F395" s="40" t="n">
        <x:v>-4</x:v>
      </x:c>
      <x:c r="G395" s="40" t="n">
        <x:v>-20</x:v>
      </x:c>
      <x:c r="H395" s="42" t="n">
        <x:v>-0.03395570080936179</x:v>
      </x:c>
      <x:c r="I395" s="17" t="n">
        <x:v>44</x:v>
      </x:c>
    </x:row>
    <x:row r="396">
      <x:c r="A396" s="13" t="str">
        <x:v>5m_event_local_4h_all_behavioral_candidate_in_atom_to_spot_range_stress</x:v>
      </x:c>
      <x:c r="B396" s="13" t="str">
        <x:v>5m</x:v>
      </x:c>
      <x:c r="C396" s="13" t="str">
        <x:v>event_local_4h</x:v>
      </x:c>
      <x:c r="D396" s="13" t="str">
        <x:v>all_behavioral_candidate_in_atom</x:v>
      </x:c>
      <x:c r="E396" s="13" t="str">
        <x:v>spot_range_stress</x:v>
      </x:c>
      <x:c r="F396" s="40" t="n">
        <x:v>-3</x:v>
      </x:c>
      <x:c r="G396" s="40" t="n">
        <x:v>-15</x:v>
      </x:c>
      <x:c r="H396" s="42" t="n">
        <x:v>-0.2639134935137615</x:v>
      </x:c>
      <x:c r="I396" s="17" t="n">
        <x:v>45</x:v>
      </x:c>
    </x:row>
    <x:row r="397">
      <x:c r="A397" s="13" t="str">
        <x:v>5m_event_local_4h_all_behavioral_candidate_in_atom_to_spot_range_stress</x:v>
      </x:c>
      <x:c r="B397" s="13" t="str">
        <x:v>5m</x:v>
      </x:c>
      <x:c r="C397" s="13" t="str">
        <x:v>event_local_4h</x:v>
      </x:c>
      <x:c r="D397" s="13" t="str">
        <x:v>all_behavioral_candidate_in_atom</x:v>
      </x:c>
      <x:c r="E397" s="13" t="str">
        <x:v>spot_range_stress</x:v>
      </x:c>
      <x:c r="F397" s="40" t="n">
        <x:v>-2</x:v>
      </x:c>
      <x:c r="G397" s="40" t="n">
        <x:v>-10</x:v>
      </x:c>
      <x:c r="H397" s="42" t="n">
        <x:v>-0.04448346065756745</x:v>
      </x:c>
      <x:c r="I397" s="17" t="n">
        <x:v>46</x:v>
      </x:c>
    </x:row>
    <x:row r="398">
      <x:c r="A398" s="13" t="str">
        <x:v>5m_event_local_4h_all_behavioral_candidate_in_atom_to_spot_range_stress</x:v>
      </x:c>
      <x:c r="B398" s="13" t="str">
        <x:v>5m</x:v>
      </x:c>
      <x:c r="C398" s="13" t="str">
        <x:v>event_local_4h</x:v>
      </x:c>
      <x:c r="D398" s="13" t="str">
        <x:v>all_behavioral_candidate_in_atom</x:v>
      </x:c>
      <x:c r="E398" s="13" t="str">
        <x:v>spot_range_stress</x:v>
      </x:c>
      <x:c r="F398" s="40" t="n">
        <x:v>-1</x:v>
      </x:c>
      <x:c r="G398" s="40" t="n">
        <x:v>-5</x:v>
      </x:c>
      <x:c r="H398" s="42" t="n">
        <x:v>-0.010963798154896696</x:v>
      </x:c>
      <x:c r="I398" s="17" t="n">
        <x:v>47</x:v>
      </x:c>
    </x:row>
    <x:row r="399">
      <x:c r="A399" s="13" t="str">
        <x:v>5m_event_local_4h_all_behavioral_candidate_in_atom_to_spot_range_stress</x:v>
      </x:c>
      <x:c r="B399" s="13" t="str">
        <x:v>5m</x:v>
      </x:c>
      <x:c r="C399" s="13" t="str">
        <x:v>event_local_4h</x:v>
      </x:c>
      <x:c r="D399" s="13" t="str">
        <x:v>all_behavioral_candidate_in_atom</x:v>
      </x:c>
      <x:c r="E399" s="13" t="str">
        <x:v>spot_range_stress</x:v>
      </x:c>
      <x:c r="F399" s="40" t="n">
        <x:v>0</x:v>
      </x:c>
      <x:c r="G399" s="40" t="n">
        <x:v>0</x:v>
      </x:c>
      <x:c r="H399" s="42" t="n">
        <x:v>0.0013255652131714377</x:v>
      </x:c>
      <x:c r="I399" s="17" t="n">
        <x:v>48</x:v>
      </x:c>
    </x:row>
    <x:row r="400">
      <x:c r="A400" s="13" t="str">
        <x:v>5m_event_local_4h_all_behavioral_candidate_in_atom_to_spot_range_stress</x:v>
      </x:c>
      <x:c r="B400" s="13" t="str">
        <x:v>5m</x:v>
      </x:c>
      <x:c r="C400" s="13" t="str">
        <x:v>event_local_4h</x:v>
      </x:c>
      <x:c r="D400" s="13" t="str">
        <x:v>all_behavioral_candidate_in_atom</x:v>
      </x:c>
      <x:c r="E400" s="13" t="str">
        <x:v>spot_range_stress</x:v>
      </x:c>
      <x:c r="F400" s="40" t="n">
        <x:v>1</x:v>
      </x:c>
      <x:c r="G400" s="40" t="n">
        <x:v>5</x:v>
      </x:c>
      <x:c r="H400" s="42" t="n">
        <x:v>0.10062189323197654</x:v>
      </x:c>
      <x:c r="I400" s="17" t="n">
        <x:v>47</x:v>
      </x:c>
    </x:row>
    <x:row r="401">
      <x:c r="A401" s="13" t="str">
        <x:v>5m_event_local_4h_all_behavioral_candidate_in_atom_to_spot_range_stress</x:v>
      </x:c>
      <x:c r="B401" s="13" t="str">
        <x:v>5m</x:v>
      </x:c>
      <x:c r="C401" s="13" t="str">
        <x:v>event_local_4h</x:v>
      </x:c>
      <x:c r="D401" s="13" t="str">
        <x:v>all_behavioral_candidate_in_atom</x:v>
      </x:c>
      <x:c r="E401" s="13" t="str">
        <x:v>spot_range_stress</x:v>
      </x:c>
      <x:c r="F401" s="40" t="n">
        <x:v>2</x:v>
      </x:c>
      <x:c r="G401" s="40" t="n">
        <x:v>10</x:v>
      </x:c>
      <x:c r="H401" s="42" t="n">
        <x:v>0.03159995268794571</x:v>
      </x:c>
      <x:c r="I401" s="17" t="n">
        <x:v>46</x:v>
      </x:c>
    </x:row>
    <x:row r="402">
      <x:c r="A402" s="13" t="str">
        <x:v>5m_event_local_4h_all_behavioral_candidate_in_atom_to_spot_range_stress</x:v>
      </x:c>
      <x:c r="B402" s="13" t="str">
        <x:v>5m</x:v>
      </x:c>
      <x:c r="C402" s="13" t="str">
        <x:v>event_local_4h</x:v>
      </x:c>
      <x:c r="D402" s="13" t="str">
        <x:v>all_behavioral_candidate_in_atom</x:v>
      </x:c>
      <x:c r="E402" s="13" t="str">
        <x:v>spot_range_stress</x:v>
      </x:c>
      <x:c r="F402" s="40" t="n">
        <x:v>3</x:v>
      </x:c>
      <x:c r="G402" s="40" t="n">
        <x:v>15</x:v>
      </x:c>
      <x:c r="H402" s="42" t="n">
        <x:v>0.05647533947285893</x:v>
      </x:c>
      <x:c r="I402" s="17" t="n">
        <x:v>45</x:v>
      </x:c>
    </x:row>
    <x:row r="403">
      <x:c r="A403" s="13" t="str">
        <x:v>5m_event_local_4h_all_behavioral_candidate_in_atom_to_spot_range_stress</x:v>
      </x:c>
      <x:c r="B403" s="13" t="str">
        <x:v>5m</x:v>
      </x:c>
      <x:c r="C403" s="13" t="str">
        <x:v>event_local_4h</x:v>
      </x:c>
      <x:c r="D403" s="13" t="str">
        <x:v>all_behavioral_candidate_in_atom</x:v>
      </x:c>
      <x:c r="E403" s="13" t="str">
        <x:v>spot_range_stress</x:v>
      </x:c>
      <x:c r="F403" s="40" t="n">
        <x:v>4</x:v>
      </x:c>
      <x:c r="G403" s="40" t="n">
        <x:v>20</x:v>
      </x:c>
      <x:c r="H403" s="42" t="n">
        <x:v>0.10261415296640142</x:v>
      </x:c>
      <x:c r="I403" s="17" t="n">
        <x:v>44</x:v>
      </x:c>
    </x:row>
    <x:row r="404">
      <x:c r="A404" s="13" t="str">
        <x:v>5m_event_local_4h_all_behavioral_candidate_in_atom_to_spot_range_stress</x:v>
      </x:c>
      <x:c r="B404" s="13" t="str">
        <x:v>5m</x:v>
      </x:c>
      <x:c r="C404" s="13" t="str">
        <x:v>event_local_4h</x:v>
      </x:c>
      <x:c r="D404" s="13" t="str">
        <x:v>all_behavioral_candidate_in_atom</x:v>
      </x:c>
      <x:c r="E404" s="13" t="str">
        <x:v>spot_range_stress</x:v>
      </x:c>
      <x:c r="F404" s="40" t="n">
        <x:v>5</x:v>
      </x:c>
      <x:c r="G404" s="40" t="n">
        <x:v>25</x:v>
      </x:c>
      <x:c r="H404" s="42" t="n">
        <x:v>0.013767438508875981</x:v>
      </x:c>
      <x:c r="I404" s="17" t="n">
        <x:v>43</x:v>
      </x:c>
    </x:row>
    <x:row r="405">
      <x:c r="A405" s="13" t="str">
        <x:v>5m_event_local_4h_all_behavioral_candidate_in_atom_to_spot_range_stress</x:v>
      </x:c>
      <x:c r="B405" s="13" t="str">
        <x:v>5m</x:v>
      </x:c>
      <x:c r="C405" s="13" t="str">
        <x:v>event_local_4h</x:v>
      </x:c>
      <x:c r="D405" s="13" t="str">
        <x:v>all_behavioral_candidate_in_atom</x:v>
      </x:c>
      <x:c r="E405" s="13" t="str">
        <x:v>spot_range_stress</x:v>
      </x:c>
      <x:c r="F405" s="40" t="n">
        <x:v>6</x:v>
      </x:c>
      <x:c r="G405" s="40" t="n">
        <x:v>30</x:v>
      </x:c>
      <x:c r="H405" s="42" t="n">
        <x:v>-0.15526107673261816</x:v>
      </x:c>
      <x:c r="I405" s="17" t="n">
        <x:v>42</x:v>
      </x:c>
    </x:row>
    <x:row r="406">
      <x:c r="A406" s="13" t="str">
        <x:v>5m_event_local_4h_all_behavioral_candidate_in_atom_to_spot_range_stress</x:v>
      </x:c>
      <x:c r="B406" s="13" t="str">
        <x:v>5m</x:v>
      </x:c>
      <x:c r="C406" s="13" t="str">
        <x:v>event_local_4h</x:v>
      </x:c>
      <x:c r="D406" s="13" t="str">
        <x:v>all_behavioral_candidate_in_atom</x:v>
      </x:c>
      <x:c r="E406" s="13" t="str">
        <x:v>spot_range_stress</x:v>
      </x:c>
      <x:c r="F406" s="40" t="n">
        <x:v>7</x:v>
      </x:c>
      <x:c r="G406" s="40" t="n">
        <x:v>35</x:v>
      </x:c>
      <x:c r="H406" s="42" t="n">
        <x:v>-0.23697438525395367</x:v>
      </x:c>
      <x:c r="I406" s="17" t="n">
        <x:v>41</x:v>
      </x:c>
    </x:row>
    <x:row r="407">
      <x:c r="A407" s="13" t="str">
        <x:v>5m_event_local_4h_all_behavioral_candidate_in_atom_to_spot_range_stress</x:v>
      </x:c>
      <x:c r="B407" s="13" t="str">
        <x:v>5m</x:v>
      </x:c>
      <x:c r="C407" s="13" t="str">
        <x:v>event_local_4h</x:v>
      </x:c>
      <x:c r="D407" s="13" t="str">
        <x:v>all_behavioral_candidate_in_atom</x:v>
      </x:c>
      <x:c r="E407" s="13" t="str">
        <x:v>spot_range_stress</x:v>
      </x:c>
      <x:c r="F407" s="40" t="n">
        <x:v>8</x:v>
      </x:c>
      <x:c r="G407" s="40" t="n">
        <x:v>40</x:v>
      </x:c>
      <x:c r="H407" s="42" t="n">
        <x:v>-0.24237699998192744</x:v>
      </x:c>
      <x:c r="I407" s="17" t="n">
        <x:v>40</x:v>
      </x:c>
    </x:row>
    <x:row r="408">
      <x:c r="A408" s="13" t="str">
        <x:v>5m_event_local_4h_all_behavioral_candidate_in_atom_to_spot_range_stress</x:v>
      </x:c>
      <x:c r="B408" s="13" t="str">
        <x:v>5m</x:v>
      </x:c>
      <x:c r="C408" s="13" t="str">
        <x:v>event_local_4h</x:v>
      </x:c>
      <x:c r="D408" s="13" t="str">
        <x:v>all_behavioral_candidate_in_atom</x:v>
      </x:c>
      <x:c r="E408" s="13" t="str">
        <x:v>spot_range_stress</x:v>
      </x:c>
      <x:c r="F408" s="40" t="n">
        <x:v>9</x:v>
      </x:c>
      <x:c r="G408" s="40" t="n">
        <x:v>45</x:v>
      </x:c>
      <x:c r="H408" s="42" t="n">
        <x:v>-0.521983800467452</x:v>
      </x:c>
      <x:c r="I408" s="17" t="n">
        <x:v>39</x:v>
      </x:c>
    </x:row>
    <x:row r="409">
      <x:c r="A409" s="13" t="str">
        <x:v>5m_event_local_4h_all_behavioral_candidate_in_atom_to_spot_range_stress</x:v>
      </x:c>
      <x:c r="B409" s="13" t="str">
        <x:v>5m</x:v>
      </x:c>
      <x:c r="C409" s="13" t="str">
        <x:v>event_local_4h</x:v>
      </x:c>
      <x:c r="D409" s="13" t="str">
        <x:v>all_behavioral_candidate_in_atom</x:v>
      </x:c>
      <x:c r="E409" s="13" t="str">
        <x:v>spot_range_stress</x:v>
      </x:c>
      <x:c r="F409" s="40" t="n">
        <x:v>10</x:v>
      </x:c>
      <x:c r="G409" s="40" t="n">
        <x:v>50</x:v>
      </x:c>
      <x:c r="H409" s="42" t="n">
        <x:v>-0.1544748996872148</x:v>
      </x:c>
      <x:c r="I409" s="17" t="n">
        <x:v>38</x:v>
      </x:c>
    </x:row>
    <x:row r="410">
      <x:c r="A410" s="13" t="str">
        <x:v>5m_event_local_4h_all_behavioral_candidate_in_atom_to_spot_range_stress</x:v>
      </x:c>
      <x:c r="B410" s="13" t="str">
        <x:v>5m</x:v>
      </x:c>
      <x:c r="C410" s="13" t="str">
        <x:v>event_local_4h</x:v>
      </x:c>
      <x:c r="D410" s="13" t="str">
        <x:v>all_behavioral_candidate_in_atom</x:v>
      </x:c>
      <x:c r="E410" s="13" t="str">
        <x:v>spot_range_stress</x:v>
      </x:c>
      <x:c r="F410" s="40" t="n">
        <x:v>11</x:v>
      </x:c>
      <x:c r="G410" s="40" t="n">
        <x:v>55</x:v>
      </x:c>
      <x:c r="H410" s="42" t="n">
        <x:v>-0.19519732929571387</x:v>
      </x:c>
      <x:c r="I410" s="17" t="n">
        <x:v>37</x:v>
      </x:c>
    </x:row>
    <x:row r="411">
      <x:c r="A411" s="13" t="str">
        <x:v>5m_event_local_4h_all_behavioral_candidate_in_atom_to_spot_range_stress</x:v>
      </x:c>
      <x:c r="B411" s="13" t="str">
        <x:v>5m</x:v>
      </x:c>
      <x:c r="C411" s="13" t="str">
        <x:v>event_local_4h</x:v>
      </x:c>
      <x:c r="D411" s="13" t="str">
        <x:v>all_behavioral_candidate_in_atom</x:v>
      </x:c>
      <x:c r="E411" s="13" t="str">
        <x:v>spot_range_stress</x:v>
      </x:c>
      <x:c r="F411" s="40" t="n">
        <x:v>12</x:v>
      </x:c>
      <x:c r="G411" s="40" t="n">
        <x:v>60</x:v>
      </x:c>
      <x:c r="H411" s="42" t="n">
        <x:v>-0.06199842314467131</x:v>
      </x:c>
      <x:c r="I411" s="17" t="n">
        <x:v>36</x:v>
      </x:c>
    </x:row>
    <x:row r="412">
      <x:c r="A412" s="13" t="str">
        <x:v>5m_event_local_4h_confirmed_exchange_net_in_atom_to_spot_return</x:v>
      </x:c>
      <x:c r="B412" s="13" t="str">
        <x:v>5m</x:v>
      </x:c>
      <x:c r="C412" s="13" t="str">
        <x:v>event_local_4h</x:v>
      </x:c>
      <x:c r="D412" s="13" t="str">
        <x:v>confirmed_exchange_net_in_atom</x:v>
      </x:c>
      <x:c r="E412" s="13" t="str">
        <x:v>spot_return</x:v>
      </x:c>
      <x:c r="F412" s="40" t="n">
        <x:v>-12</x:v>
      </x:c>
      <x:c r="G412" s="40" t="n">
        <x:v>-60</x:v>
      </x:c>
      <x:c r="H412" s="42" t="n">
        <x:v>0.2120877433081739</x:v>
      </x:c>
      <x:c r="I412" s="17" t="n">
        <x:v>36</x:v>
      </x:c>
    </x:row>
    <x:row r="413">
      <x:c r="A413" s="13" t="str">
        <x:v>5m_event_local_4h_confirmed_exchange_net_in_atom_to_spot_return</x:v>
      </x:c>
      <x:c r="B413" s="13" t="str">
        <x:v>5m</x:v>
      </x:c>
      <x:c r="C413" s="13" t="str">
        <x:v>event_local_4h</x:v>
      </x:c>
      <x:c r="D413" s="13" t="str">
        <x:v>confirmed_exchange_net_in_atom</x:v>
      </x:c>
      <x:c r="E413" s="13" t="str">
        <x:v>spot_return</x:v>
      </x:c>
      <x:c r="F413" s="40" t="n">
        <x:v>-11</x:v>
      </x:c>
      <x:c r="G413" s="40" t="n">
        <x:v>-55</x:v>
      </x:c>
      <x:c r="H413" s="42" t="n">
        <x:v>-0.2179559934692908</x:v>
      </x:c>
      <x:c r="I413" s="17" t="n">
        <x:v>37</x:v>
      </x:c>
    </x:row>
    <x:row r="414">
      <x:c r="A414" s="13" t="str">
        <x:v>5m_event_local_4h_confirmed_exchange_net_in_atom_to_spot_return</x:v>
      </x:c>
      <x:c r="B414" s="13" t="str">
        <x:v>5m</x:v>
      </x:c>
      <x:c r="C414" s="13" t="str">
        <x:v>event_local_4h</x:v>
      </x:c>
      <x:c r="D414" s="13" t="str">
        <x:v>confirmed_exchange_net_in_atom</x:v>
      </x:c>
      <x:c r="E414" s="13" t="str">
        <x:v>spot_return</x:v>
      </x:c>
      <x:c r="F414" s="40" t="n">
        <x:v>-10</x:v>
      </x:c>
      <x:c r="G414" s="40" t="n">
        <x:v>-50</x:v>
      </x:c>
      <x:c r="H414" s="42" t="n">
        <x:v>-0.10035755577378767</x:v>
      </x:c>
      <x:c r="I414" s="17" t="n">
        <x:v>38</x:v>
      </x:c>
    </x:row>
    <x:row r="415">
      <x:c r="A415" s="13" t="str">
        <x:v>5m_event_local_4h_confirmed_exchange_net_in_atom_to_spot_return</x:v>
      </x:c>
      <x:c r="B415" s="13" t="str">
        <x:v>5m</x:v>
      </x:c>
      <x:c r="C415" s="13" t="str">
        <x:v>event_local_4h</x:v>
      </x:c>
      <x:c r="D415" s="13" t="str">
        <x:v>confirmed_exchange_net_in_atom</x:v>
      </x:c>
      <x:c r="E415" s="13" t="str">
        <x:v>spot_return</x:v>
      </x:c>
      <x:c r="F415" s="40" t="n">
        <x:v>-9</x:v>
      </x:c>
      <x:c r="G415" s="40" t="n">
        <x:v>-45</x:v>
      </x:c>
      <x:c r="H415" s="42" t="n">
        <x:v>-0.09163739389795561</x:v>
      </x:c>
      <x:c r="I415" s="17" t="n">
        <x:v>39</x:v>
      </x:c>
    </x:row>
    <x:row r="416">
      <x:c r="A416" s="13" t="str">
        <x:v>5m_event_local_4h_confirmed_exchange_net_in_atom_to_spot_return</x:v>
      </x:c>
      <x:c r="B416" s="13" t="str">
        <x:v>5m</x:v>
      </x:c>
      <x:c r="C416" s="13" t="str">
        <x:v>event_local_4h</x:v>
      </x:c>
      <x:c r="D416" s="13" t="str">
        <x:v>confirmed_exchange_net_in_atom</x:v>
      </x:c>
      <x:c r="E416" s="13" t="str">
        <x:v>spot_return</x:v>
      </x:c>
      <x:c r="F416" s="40" t="n">
        <x:v>-8</x:v>
      </x:c>
      <x:c r="G416" s="40" t="n">
        <x:v>-40</x:v>
      </x:c>
      <x:c r="H416" s="42" t="n">
        <x:v>0.24295512426409227</x:v>
      </x:c>
      <x:c r="I416" s="17" t="n">
        <x:v>40</x:v>
      </x:c>
    </x:row>
    <x:row r="417">
      <x:c r="A417" s="13" t="str">
        <x:v>5m_event_local_4h_confirmed_exchange_net_in_atom_to_spot_return</x:v>
      </x:c>
      <x:c r="B417" s="13" t="str">
        <x:v>5m</x:v>
      </x:c>
      <x:c r="C417" s="13" t="str">
        <x:v>event_local_4h</x:v>
      </x:c>
      <x:c r="D417" s="13" t="str">
        <x:v>confirmed_exchange_net_in_atom</x:v>
      </x:c>
      <x:c r="E417" s="13" t="str">
        <x:v>spot_return</x:v>
      </x:c>
      <x:c r="F417" s="40" t="n">
        <x:v>-7</x:v>
      </x:c>
      <x:c r="G417" s="40" t="n">
        <x:v>-35</x:v>
      </x:c>
      <x:c r="H417" s="42" t="n">
        <x:v>-0.15978079966996667</x:v>
      </x:c>
      <x:c r="I417" s="17" t="n">
        <x:v>41</x:v>
      </x:c>
    </x:row>
    <x:row r="418">
      <x:c r="A418" s="13" t="str">
        <x:v>5m_event_local_4h_confirmed_exchange_net_in_atom_to_spot_return</x:v>
      </x:c>
      <x:c r="B418" s="13" t="str">
        <x:v>5m</x:v>
      </x:c>
      <x:c r="C418" s="13" t="str">
        <x:v>event_local_4h</x:v>
      </x:c>
      <x:c r="D418" s="13" t="str">
        <x:v>confirmed_exchange_net_in_atom</x:v>
      </x:c>
      <x:c r="E418" s="13" t="str">
        <x:v>spot_return</x:v>
      </x:c>
      <x:c r="F418" s="40" t="n">
        <x:v>-6</x:v>
      </x:c>
      <x:c r="G418" s="40" t="n">
        <x:v>-30</x:v>
      </x:c>
      <x:c r="H418" s="42" t="n">
        <x:v>0.07513316726996816</x:v>
      </x:c>
      <x:c r="I418" s="17" t="n">
        <x:v>42</x:v>
      </x:c>
    </x:row>
    <x:row r="419">
      <x:c r="A419" s="13" t="str">
        <x:v>5m_event_local_4h_confirmed_exchange_net_in_atom_to_spot_return</x:v>
      </x:c>
      <x:c r="B419" s="13" t="str">
        <x:v>5m</x:v>
      </x:c>
      <x:c r="C419" s="13" t="str">
        <x:v>event_local_4h</x:v>
      </x:c>
      <x:c r="D419" s="13" t="str">
        <x:v>confirmed_exchange_net_in_atom</x:v>
      </x:c>
      <x:c r="E419" s="13" t="str">
        <x:v>spot_return</x:v>
      </x:c>
      <x:c r="F419" s="40" t="n">
        <x:v>-5</x:v>
      </x:c>
      <x:c r="G419" s="40" t="n">
        <x:v>-25</x:v>
      </x:c>
      <x:c r="H419" s="42" t="n">
        <x:v>0.2230124580370106</x:v>
      </x:c>
      <x:c r="I419" s="17" t="n">
        <x:v>43</x:v>
      </x:c>
    </x:row>
    <x:row r="420">
      <x:c r="A420" s="13" t="str">
        <x:v>5m_event_local_4h_confirmed_exchange_net_in_atom_to_spot_return</x:v>
      </x:c>
      <x:c r="B420" s="13" t="str">
        <x:v>5m</x:v>
      </x:c>
      <x:c r="C420" s="13" t="str">
        <x:v>event_local_4h</x:v>
      </x:c>
      <x:c r="D420" s="13" t="str">
        <x:v>confirmed_exchange_net_in_atom</x:v>
      </x:c>
      <x:c r="E420" s="13" t="str">
        <x:v>spot_return</x:v>
      </x:c>
      <x:c r="F420" s="40" t="n">
        <x:v>-4</x:v>
      </x:c>
      <x:c r="G420" s="40" t="n">
        <x:v>-20</x:v>
      </x:c>
      <x:c r="H420" s="42" t="n">
        <x:v>0.12394519730733591</x:v>
      </x:c>
      <x:c r="I420" s="17" t="n">
        <x:v>44</x:v>
      </x:c>
    </x:row>
    <x:row r="421">
      <x:c r="A421" s="13" t="str">
        <x:v>5m_event_local_4h_confirmed_exchange_net_in_atom_to_spot_return</x:v>
      </x:c>
      <x:c r="B421" s="13" t="str">
        <x:v>5m</x:v>
      </x:c>
      <x:c r="C421" s="13" t="str">
        <x:v>event_local_4h</x:v>
      </x:c>
      <x:c r="D421" s="13" t="str">
        <x:v>confirmed_exchange_net_in_atom</x:v>
      </x:c>
      <x:c r="E421" s="13" t="str">
        <x:v>spot_return</x:v>
      </x:c>
      <x:c r="F421" s="40" t="n">
        <x:v>-3</x:v>
      </x:c>
      <x:c r="G421" s="40" t="n">
        <x:v>-15</x:v>
      </x:c>
      <x:c r="H421" s="42" t="n">
        <x:v>-0.13076319303047687</x:v>
      </x:c>
      <x:c r="I421" s="17" t="n">
        <x:v>45</x:v>
      </x:c>
    </x:row>
    <x:row r="422">
      <x:c r="A422" s="13" t="str">
        <x:v>5m_event_local_4h_confirmed_exchange_net_in_atom_to_spot_return</x:v>
      </x:c>
      <x:c r="B422" s="13" t="str">
        <x:v>5m</x:v>
      </x:c>
      <x:c r="C422" s="13" t="str">
        <x:v>event_local_4h</x:v>
      </x:c>
      <x:c r="D422" s="13" t="str">
        <x:v>confirmed_exchange_net_in_atom</x:v>
      </x:c>
      <x:c r="E422" s="13" t="str">
        <x:v>spot_return</x:v>
      </x:c>
      <x:c r="F422" s="40" t="n">
        <x:v>-2</x:v>
      </x:c>
      <x:c r="G422" s="40" t="n">
        <x:v>-10</x:v>
      </x:c>
      <x:c r="H422" s="42" t="n">
        <x:v>0.10508268433170885</x:v>
      </x:c>
      <x:c r="I422" s="17" t="n">
        <x:v>46</x:v>
      </x:c>
    </x:row>
    <x:row r="423">
      <x:c r="A423" s="13" t="str">
        <x:v>5m_event_local_4h_confirmed_exchange_net_in_atom_to_spot_return</x:v>
      </x:c>
      <x:c r="B423" s="13" t="str">
        <x:v>5m</x:v>
      </x:c>
      <x:c r="C423" s="13" t="str">
        <x:v>event_local_4h</x:v>
      </x:c>
      <x:c r="D423" s="13" t="str">
        <x:v>confirmed_exchange_net_in_atom</x:v>
      </x:c>
      <x:c r="E423" s="13" t="str">
        <x:v>spot_return</x:v>
      </x:c>
      <x:c r="F423" s="40" t="n">
        <x:v>-1</x:v>
      </x:c>
      <x:c r="G423" s="40" t="n">
        <x:v>-5</x:v>
      </x:c>
      <x:c r="H423" s="42" t="n">
        <x:v>-0.17723496134380304</x:v>
      </x:c>
      <x:c r="I423" s="17" t="n">
        <x:v>47</x:v>
      </x:c>
    </x:row>
    <x:row r="424">
      <x:c r="A424" s="13" t="str">
        <x:v>5m_event_local_4h_confirmed_exchange_net_in_atom_to_spot_return</x:v>
      </x:c>
      <x:c r="B424" s="13" t="str">
        <x:v>5m</x:v>
      </x:c>
      <x:c r="C424" s="13" t="str">
        <x:v>event_local_4h</x:v>
      </x:c>
      <x:c r="D424" s="13" t="str">
        <x:v>confirmed_exchange_net_in_atom</x:v>
      </x:c>
      <x:c r="E424" s="13" t="str">
        <x:v>spot_return</x:v>
      </x:c>
      <x:c r="F424" s="40" t="n">
        <x:v>0</x:v>
      </x:c>
      <x:c r="G424" s="40" t="n">
        <x:v>0</x:v>
      </x:c>
      <x:c r="H424" s="42" t="n">
        <x:v>0.008503758647086258</x:v>
      </x:c>
      <x:c r="I424" s="17" t="n">
        <x:v>48</x:v>
      </x:c>
    </x:row>
    <x:row r="425">
      <x:c r="A425" s="13" t="str">
        <x:v>5m_event_local_4h_confirmed_exchange_net_in_atom_to_spot_return</x:v>
      </x:c>
      <x:c r="B425" s="13" t="str">
        <x:v>5m</x:v>
      </x:c>
      <x:c r="C425" s="13" t="str">
        <x:v>event_local_4h</x:v>
      </x:c>
      <x:c r="D425" s="13" t="str">
        <x:v>confirmed_exchange_net_in_atom</x:v>
      </x:c>
      <x:c r="E425" s="13" t="str">
        <x:v>spot_return</x:v>
      </x:c>
      <x:c r="F425" s="40" t="n">
        <x:v>1</x:v>
      </x:c>
      <x:c r="G425" s="40" t="n">
        <x:v>5</x:v>
      </x:c>
      <x:c r="H425" s="42" t="n">
        <x:v>-0.07507632992990017</x:v>
      </x:c>
      <x:c r="I425" s="17" t="n">
        <x:v>47</x:v>
      </x:c>
    </x:row>
    <x:row r="426">
      <x:c r="A426" s="13" t="str">
        <x:v>5m_event_local_4h_confirmed_exchange_net_in_atom_to_spot_return</x:v>
      </x:c>
      <x:c r="B426" s="13" t="str">
        <x:v>5m</x:v>
      </x:c>
      <x:c r="C426" s="13" t="str">
        <x:v>event_local_4h</x:v>
      </x:c>
      <x:c r="D426" s="13" t="str">
        <x:v>confirmed_exchange_net_in_atom</x:v>
      </x:c>
      <x:c r="E426" s="13" t="str">
        <x:v>spot_return</x:v>
      </x:c>
      <x:c r="F426" s="40" t="n">
        <x:v>2</x:v>
      </x:c>
      <x:c r="G426" s="40" t="n">
        <x:v>10</x:v>
      </x:c>
      <x:c r="H426" s="42" t="n">
        <x:v>0.09063576554918276</x:v>
      </x:c>
      <x:c r="I426" s="17" t="n">
        <x:v>46</x:v>
      </x:c>
    </x:row>
    <x:row r="427">
      <x:c r="A427" s="13" t="str">
        <x:v>5m_event_local_4h_confirmed_exchange_net_in_atom_to_spot_return</x:v>
      </x:c>
      <x:c r="B427" s="13" t="str">
        <x:v>5m</x:v>
      </x:c>
      <x:c r="C427" s="13" t="str">
        <x:v>event_local_4h</x:v>
      </x:c>
      <x:c r="D427" s="13" t="str">
        <x:v>confirmed_exchange_net_in_atom</x:v>
      </x:c>
      <x:c r="E427" s="13" t="str">
        <x:v>spot_return</x:v>
      </x:c>
      <x:c r="F427" s="40" t="n">
        <x:v>3</x:v>
      </x:c>
      <x:c r="G427" s="40" t="n">
        <x:v>15</x:v>
      </x:c>
      <x:c r="H427" s="42" t="n">
        <x:v>-0.15144427558140824</x:v>
      </x:c>
      <x:c r="I427" s="17" t="n">
        <x:v>45</x:v>
      </x:c>
    </x:row>
    <x:row r="428">
      <x:c r="A428" s="13" t="str">
        <x:v>5m_event_local_4h_confirmed_exchange_net_in_atom_to_spot_return</x:v>
      </x:c>
      <x:c r="B428" s="13" t="str">
        <x:v>5m</x:v>
      </x:c>
      <x:c r="C428" s="13" t="str">
        <x:v>event_local_4h</x:v>
      </x:c>
      <x:c r="D428" s="13" t="str">
        <x:v>confirmed_exchange_net_in_atom</x:v>
      </x:c>
      <x:c r="E428" s="13" t="str">
        <x:v>spot_return</x:v>
      </x:c>
      <x:c r="F428" s="40" t="n">
        <x:v>4</x:v>
      </x:c>
      <x:c r="G428" s="40" t="n">
        <x:v>20</x:v>
      </x:c>
      <x:c r="H428" s="42" t="n">
        <x:v>-0.07203558057487407</x:v>
      </x:c>
      <x:c r="I428" s="17" t="n">
        <x:v>44</x:v>
      </x:c>
    </x:row>
    <x:row r="429">
      <x:c r="A429" s="13" t="str">
        <x:v>5m_event_local_4h_confirmed_exchange_net_in_atom_to_spot_return</x:v>
      </x:c>
      <x:c r="B429" s="13" t="str">
        <x:v>5m</x:v>
      </x:c>
      <x:c r="C429" s="13" t="str">
        <x:v>event_local_4h</x:v>
      </x:c>
      <x:c r="D429" s="13" t="str">
        <x:v>confirmed_exchange_net_in_atom</x:v>
      </x:c>
      <x:c r="E429" s="13" t="str">
        <x:v>spot_return</x:v>
      </x:c>
      <x:c r="F429" s="40" t="n">
        <x:v>5</x:v>
      </x:c>
      <x:c r="G429" s="40" t="n">
        <x:v>25</x:v>
      </x:c>
      <x:c r="H429" s="42" t="n">
        <x:v>0.019766291093596563</x:v>
      </x:c>
      <x:c r="I429" s="17" t="n">
        <x:v>43</x:v>
      </x:c>
    </x:row>
    <x:row r="430">
      <x:c r="A430" s="13" t="str">
        <x:v>5m_event_local_4h_confirmed_exchange_net_in_atom_to_spot_return</x:v>
      </x:c>
      <x:c r="B430" s="13" t="str">
        <x:v>5m</x:v>
      </x:c>
      <x:c r="C430" s="13" t="str">
        <x:v>event_local_4h</x:v>
      </x:c>
      <x:c r="D430" s="13" t="str">
        <x:v>confirmed_exchange_net_in_atom</x:v>
      </x:c>
      <x:c r="E430" s="13" t="str">
        <x:v>spot_return</x:v>
      </x:c>
      <x:c r="F430" s="40" t="n">
        <x:v>6</x:v>
      </x:c>
      <x:c r="G430" s="40" t="n">
        <x:v>30</x:v>
      </x:c>
      <x:c r="H430" s="42" t="n">
        <x:v>0.01227479763334001</x:v>
      </x:c>
      <x:c r="I430" s="17" t="n">
        <x:v>42</x:v>
      </x:c>
    </x:row>
    <x:row r="431">
      <x:c r="A431" s="13" t="str">
        <x:v>5m_event_local_4h_confirmed_exchange_net_in_atom_to_spot_return</x:v>
      </x:c>
      <x:c r="B431" s="13" t="str">
        <x:v>5m</x:v>
      </x:c>
      <x:c r="C431" s="13" t="str">
        <x:v>event_local_4h</x:v>
      </x:c>
      <x:c r="D431" s="13" t="str">
        <x:v>confirmed_exchange_net_in_atom</x:v>
      </x:c>
      <x:c r="E431" s="13" t="str">
        <x:v>spot_return</x:v>
      </x:c>
      <x:c r="F431" s="40" t="n">
        <x:v>7</x:v>
      </x:c>
      <x:c r="G431" s="40" t="n">
        <x:v>35</x:v>
      </x:c>
      <x:c r="H431" s="42" t="n">
        <x:v>0.015107102519778612</x:v>
      </x:c>
      <x:c r="I431" s="17" t="n">
        <x:v>41</x:v>
      </x:c>
    </x:row>
    <x:row r="432">
      <x:c r="A432" s="13" t="str">
        <x:v>5m_event_local_4h_confirmed_exchange_net_in_atom_to_spot_return</x:v>
      </x:c>
      <x:c r="B432" s="13" t="str">
        <x:v>5m</x:v>
      </x:c>
      <x:c r="C432" s="13" t="str">
        <x:v>event_local_4h</x:v>
      </x:c>
      <x:c r="D432" s="13" t="str">
        <x:v>confirmed_exchange_net_in_atom</x:v>
      </x:c>
      <x:c r="E432" s="13" t="str">
        <x:v>spot_return</x:v>
      </x:c>
      <x:c r="F432" s="40" t="n">
        <x:v>8</x:v>
      </x:c>
      <x:c r="G432" s="40" t="n">
        <x:v>40</x:v>
      </x:c>
      <x:c r="H432" s="42" t="n">
        <x:v>0.08470869204542399</x:v>
      </x:c>
      <x:c r="I432" s="17" t="n">
        <x:v>40</x:v>
      </x:c>
    </x:row>
    <x:row r="433">
      <x:c r="A433" s="13" t="str">
        <x:v>5m_event_local_4h_confirmed_exchange_net_in_atom_to_spot_return</x:v>
      </x:c>
      <x:c r="B433" s="13" t="str">
        <x:v>5m</x:v>
      </x:c>
      <x:c r="C433" s="13" t="str">
        <x:v>event_local_4h</x:v>
      </x:c>
      <x:c r="D433" s="13" t="str">
        <x:v>confirmed_exchange_net_in_atom</x:v>
      </x:c>
      <x:c r="E433" s="13" t="str">
        <x:v>spot_return</x:v>
      </x:c>
      <x:c r="F433" s="40" t="n">
        <x:v>9</x:v>
      </x:c>
      <x:c r="G433" s="40" t="n">
        <x:v>45</x:v>
      </x:c>
      <x:c r="H433" s="42" t="n">
        <x:v>-0.030904567513740662</x:v>
      </x:c>
      <x:c r="I433" s="17" t="n">
        <x:v>39</x:v>
      </x:c>
    </x:row>
    <x:row r="434">
      <x:c r="A434" s="13" t="str">
        <x:v>5m_event_local_4h_confirmed_exchange_net_in_atom_to_spot_return</x:v>
      </x:c>
      <x:c r="B434" s="13" t="str">
        <x:v>5m</x:v>
      </x:c>
      <x:c r="C434" s="13" t="str">
        <x:v>event_local_4h</x:v>
      </x:c>
      <x:c r="D434" s="13" t="str">
        <x:v>confirmed_exchange_net_in_atom</x:v>
      </x:c>
      <x:c r="E434" s="13" t="str">
        <x:v>spot_return</x:v>
      </x:c>
      <x:c r="F434" s="40" t="n">
        <x:v>10</x:v>
      </x:c>
      <x:c r="G434" s="40" t="n">
        <x:v>50</x:v>
      </x:c>
      <x:c r="H434" s="42" t="n">
        <x:v>0.09487549771357363</x:v>
      </x:c>
      <x:c r="I434" s="17" t="n">
        <x:v>38</x:v>
      </x:c>
    </x:row>
    <x:row r="435">
      <x:c r="A435" s="13" t="str">
        <x:v>5m_event_local_4h_confirmed_exchange_net_in_atom_to_spot_return</x:v>
      </x:c>
      <x:c r="B435" s="13" t="str">
        <x:v>5m</x:v>
      </x:c>
      <x:c r="C435" s="13" t="str">
        <x:v>event_local_4h</x:v>
      </x:c>
      <x:c r="D435" s="13" t="str">
        <x:v>confirmed_exchange_net_in_atom</x:v>
      </x:c>
      <x:c r="E435" s="13" t="str">
        <x:v>spot_return</x:v>
      </x:c>
      <x:c r="F435" s="40" t="n">
        <x:v>11</x:v>
      </x:c>
      <x:c r="G435" s="40" t="n">
        <x:v>55</x:v>
      </x:c>
      <x:c r="H435" s="42" t="n">
        <x:v>-0.06503402413094025</x:v>
      </x:c>
      <x:c r="I435" s="17" t="n">
        <x:v>37</x:v>
      </x:c>
    </x:row>
    <x:row r="436">
      <x:c r="A436" s="13" t="str">
        <x:v>5m_event_local_4h_confirmed_exchange_net_in_atom_to_spot_return</x:v>
      </x:c>
      <x:c r="B436" s="13" t="str">
        <x:v>5m</x:v>
      </x:c>
      <x:c r="C436" s="13" t="str">
        <x:v>event_local_4h</x:v>
      </x:c>
      <x:c r="D436" s="13" t="str">
        <x:v>confirmed_exchange_net_in_atom</x:v>
      </x:c>
      <x:c r="E436" s="13" t="str">
        <x:v>spot_return</x:v>
      </x:c>
      <x:c r="F436" s="40" t="n">
        <x:v>12</x:v>
      </x:c>
      <x:c r="G436" s="40" t="n">
        <x:v>60</x:v>
      </x:c>
      <x:c r="H436" s="42" t="n">
        <x:v>0.0661456581233191</x:v>
      </x:c>
      <x:c r="I436" s="17" t="n">
        <x:v>36</x:v>
      </x:c>
    </x:row>
    <x:row r="437">
      <x:c r="A437" s="13" t="str">
        <x:v>5m_event_local_4h_ibc_inbound_atom_to_spot_range_stress</x:v>
      </x:c>
      <x:c r="B437" s="13" t="str">
        <x:v>5m</x:v>
      </x:c>
      <x:c r="C437" s="13" t="str">
        <x:v>event_local_4h</x:v>
      </x:c>
      <x:c r="D437" s="13" t="str">
        <x:v>ibc_inbound_atom</x:v>
      </x:c>
      <x:c r="E437" s="13" t="str">
        <x:v>spot_range_stress</x:v>
      </x:c>
      <x:c r="F437" s="40" t="n">
        <x:v>-12</x:v>
      </x:c>
      <x:c r="G437" s="40" t="n">
        <x:v>-60</x:v>
      </x:c>
      <x:c r="H437" s="42" t="n">
        <x:v>0.2575769885236051</x:v>
      </x:c>
      <x:c r="I437" s="17" t="n">
        <x:v>36</x:v>
      </x:c>
    </x:row>
    <x:row r="438">
      <x:c r="A438" s="13" t="str">
        <x:v>5m_event_local_4h_ibc_inbound_atom_to_spot_range_stress</x:v>
      </x:c>
      <x:c r="B438" s="13" t="str">
        <x:v>5m</x:v>
      </x:c>
      <x:c r="C438" s="13" t="str">
        <x:v>event_local_4h</x:v>
      </x:c>
      <x:c r="D438" s="13" t="str">
        <x:v>ibc_inbound_atom</x:v>
      </x:c>
      <x:c r="E438" s="13" t="str">
        <x:v>spot_range_stress</x:v>
      </x:c>
      <x:c r="F438" s="40" t="n">
        <x:v>-11</x:v>
      </x:c>
      <x:c r="G438" s="40" t="n">
        <x:v>-55</x:v>
      </x:c>
      <x:c r="H438" s="42" t="n">
        <x:v>0.15757441203721334</x:v>
      </x:c>
      <x:c r="I438" s="17" t="n">
        <x:v>37</x:v>
      </x:c>
    </x:row>
    <x:row r="439">
      <x:c r="A439" s="13" t="str">
        <x:v>5m_event_local_4h_ibc_inbound_atom_to_spot_range_stress</x:v>
      </x:c>
      <x:c r="B439" s="13" t="str">
        <x:v>5m</x:v>
      </x:c>
      <x:c r="C439" s="13" t="str">
        <x:v>event_local_4h</x:v>
      </x:c>
      <x:c r="D439" s="13" t="str">
        <x:v>ibc_inbound_atom</x:v>
      </x:c>
      <x:c r="E439" s="13" t="str">
        <x:v>spot_range_stress</x:v>
      </x:c>
      <x:c r="F439" s="40" t="n">
        <x:v>-10</x:v>
      </x:c>
      <x:c r="G439" s="40" t="n">
        <x:v>-50</x:v>
      </x:c>
      <x:c r="H439" s="42" t="n">
        <x:v>0.15451624831789032</x:v>
      </x:c>
      <x:c r="I439" s="17" t="n">
        <x:v>38</x:v>
      </x:c>
    </x:row>
    <x:row r="440">
      <x:c r="A440" s="13" t="str">
        <x:v>5m_event_local_4h_ibc_inbound_atom_to_spot_range_stress</x:v>
      </x:c>
      <x:c r="B440" s="13" t="str">
        <x:v>5m</x:v>
      </x:c>
      <x:c r="C440" s="13" t="str">
        <x:v>event_local_4h</x:v>
      </x:c>
      <x:c r="D440" s="13" t="str">
        <x:v>ibc_inbound_atom</x:v>
      </x:c>
      <x:c r="E440" s="13" t="str">
        <x:v>spot_range_stress</x:v>
      </x:c>
      <x:c r="F440" s="40" t="n">
        <x:v>-9</x:v>
      </x:c>
      <x:c r="G440" s="40" t="n">
        <x:v>-45</x:v>
      </x:c>
      <x:c r="H440" s="42" t="n">
        <x:v>0.14566795932380605</x:v>
      </x:c>
      <x:c r="I440" s="17" t="n">
        <x:v>39</x:v>
      </x:c>
    </x:row>
    <x:row r="441">
      <x:c r="A441" s="13" t="str">
        <x:v>5m_event_local_4h_ibc_inbound_atom_to_spot_range_stress</x:v>
      </x:c>
      <x:c r="B441" s="13" t="str">
        <x:v>5m</x:v>
      </x:c>
      <x:c r="C441" s="13" t="str">
        <x:v>event_local_4h</x:v>
      </x:c>
      <x:c r="D441" s="13" t="str">
        <x:v>ibc_inbound_atom</x:v>
      </x:c>
      <x:c r="E441" s="13" t="str">
        <x:v>spot_range_stress</x:v>
      </x:c>
      <x:c r="F441" s="40" t="n">
        <x:v>-8</x:v>
      </x:c>
      <x:c r="G441" s="40" t="n">
        <x:v>-40</x:v>
      </x:c>
      <x:c r="H441" s="42" t="n">
        <x:v>0.2191156464488503</x:v>
      </x:c>
      <x:c r="I441" s="17" t="n">
        <x:v>40</x:v>
      </x:c>
    </x:row>
    <x:row r="442">
      <x:c r="A442" s="13" t="str">
        <x:v>5m_event_local_4h_ibc_inbound_atom_to_spot_range_stress</x:v>
      </x:c>
      <x:c r="B442" s="13" t="str">
        <x:v>5m</x:v>
      </x:c>
      <x:c r="C442" s="13" t="str">
        <x:v>event_local_4h</x:v>
      </x:c>
      <x:c r="D442" s="13" t="str">
        <x:v>ibc_inbound_atom</x:v>
      </x:c>
      <x:c r="E442" s="13" t="str">
        <x:v>spot_range_stress</x:v>
      </x:c>
      <x:c r="F442" s="40" t="n">
        <x:v>-7</x:v>
      </x:c>
      <x:c r="G442" s="40" t="n">
        <x:v>-35</x:v>
      </x:c>
      <x:c r="H442" s="42" t="n">
        <x:v>0.16352652313273253</x:v>
      </x:c>
      <x:c r="I442" s="17" t="n">
        <x:v>41</x:v>
      </x:c>
    </x:row>
    <x:row r="443">
      <x:c r="A443" s="13" t="str">
        <x:v>5m_event_local_4h_ibc_inbound_atom_to_spot_range_stress</x:v>
      </x:c>
      <x:c r="B443" s="13" t="str">
        <x:v>5m</x:v>
      </x:c>
      <x:c r="C443" s="13" t="str">
        <x:v>event_local_4h</x:v>
      </x:c>
      <x:c r="D443" s="13" t="str">
        <x:v>ibc_inbound_atom</x:v>
      </x:c>
      <x:c r="E443" s="13" t="str">
        <x:v>spot_range_stress</x:v>
      </x:c>
      <x:c r="F443" s="40" t="n">
        <x:v>-6</x:v>
      </x:c>
      <x:c r="G443" s="40" t="n">
        <x:v>-30</x:v>
      </x:c>
      <x:c r="H443" s="42" t="n">
        <x:v>0.0915717987013553</x:v>
      </x:c>
      <x:c r="I443" s="17" t="n">
        <x:v>42</x:v>
      </x:c>
    </x:row>
    <x:row r="444">
      <x:c r="A444" s="13" t="str">
        <x:v>5m_event_local_4h_ibc_inbound_atom_to_spot_range_stress</x:v>
      </x:c>
      <x:c r="B444" s="13" t="str">
        <x:v>5m</x:v>
      </x:c>
      <x:c r="C444" s="13" t="str">
        <x:v>event_local_4h</x:v>
      </x:c>
      <x:c r="D444" s="13" t="str">
        <x:v>ibc_inbound_atom</x:v>
      </x:c>
      <x:c r="E444" s="13" t="str">
        <x:v>spot_range_stress</x:v>
      </x:c>
      <x:c r="F444" s="40" t="n">
        <x:v>-5</x:v>
      </x:c>
      <x:c r="G444" s="40" t="n">
        <x:v>-25</x:v>
      </x:c>
      <x:c r="H444" s="42" t="n">
        <x:v>0.00927147663937197</x:v>
      </x:c>
      <x:c r="I444" s="17" t="n">
        <x:v>43</x:v>
      </x:c>
    </x:row>
    <x:row r="445">
      <x:c r="A445" s="13" t="str">
        <x:v>5m_event_local_4h_ibc_inbound_atom_to_spot_range_stress</x:v>
      </x:c>
      <x:c r="B445" s="13" t="str">
        <x:v>5m</x:v>
      </x:c>
      <x:c r="C445" s="13" t="str">
        <x:v>event_local_4h</x:v>
      </x:c>
      <x:c r="D445" s="13" t="str">
        <x:v>ibc_inbound_atom</x:v>
      </x:c>
      <x:c r="E445" s="13" t="str">
        <x:v>spot_range_stress</x:v>
      </x:c>
      <x:c r="F445" s="40" t="n">
        <x:v>-4</x:v>
      </x:c>
      <x:c r="G445" s="40" t="n">
        <x:v>-20</x:v>
      </x:c>
      <x:c r="H445" s="42" t="n">
        <x:v>0.06905257637644004</x:v>
      </x:c>
      <x:c r="I445" s="17" t="n">
        <x:v>44</x:v>
      </x:c>
    </x:row>
    <x:row r="446">
      <x:c r="A446" s="13" t="str">
        <x:v>5m_event_local_4h_ibc_inbound_atom_to_spot_range_stress</x:v>
      </x:c>
      <x:c r="B446" s="13" t="str">
        <x:v>5m</x:v>
      </x:c>
      <x:c r="C446" s="13" t="str">
        <x:v>event_local_4h</x:v>
      </x:c>
      <x:c r="D446" s="13" t="str">
        <x:v>ibc_inbound_atom</x:v>
      </x:c>
      <x:c r="E446" s="13" t="str">
        <x:v>spot_range_stress</x:v>
      </x:c>
      <x:c r="F446" s="40" t="n">
        <x:v>-3</x:v>
      </x:c>
      <x:c r="G446" s="40" t="n">
        <x:v>-15</x:v>
      </x:c>
      <x:c r="H446" s="42" t="n">
        <x:v>0.03116129264738401</x:v>
      </x:c>
      <x:c r="I446" s="17" t="n">
        <x:v>45</x:v>
      </x:c>
    </x:row>
    <x:row r="447">
      <x:c r="A447" s="13" t="str">
        <x:v>5m_event_local_4h_ibc_inbound_atom_to_spot_range_stress</x:v>
      </x:c>
      <x:c r="B447" s="13" t="str">
        <x:v>5m</x:v>
      </x:c>
      <x:c r="C447" s="13" t="str">
        <x:v>event_local_4h</x:v>
      </x:c>
      <x:c r="D447" s="13" t="str">
        <x:v>ibc_inbound_atom</x:v>
      </x:c>
      <x:c r="E447" s="13" t="str">
        <x:v>spot_range_stress</x:v>
      </x:c>
      <x:c r="F447" s="40" t="n">
        <x:v>-2</x:v>
      </x:c>
      <x:c r="G447" s="40" t="n">
        <x:v>-10</x:v>
      </x:c>
      <x:c r="H447" s="42" t="n">
        <x:v>-0.00911575513019114</x:v>
      </x:c>
      <x:c r="I447" s="17" t="n">
        <x:v>46</x:v>
      </x:c>
    </x:row>
    <x:row r="448">
      <x:c r="A448" s="13" t="str">
        <x:v>5m_event_local_4h_ibc_inbound_atom_to_spot_range_stress</x:v>
      </x:c>
      <x:c r="B448" s="13" t="str">
        <x:v>5m</x:v>
      </x:c>
      <x:c r="C448" s="13" t="str">
        <x:v>event_local_4h</x:v>
      </x:c>
      <x:c r="D448" s="13" t="str">
        <x:v>ibc_inbound_atom</x:v>
      </x:c>
      <x:c r="E448" s="13" t="str">
        <x:v>spot_range_stress</x:v>
      </x:c>
      <x:c r="F448" s="40" t="n">
        <x:v>-1</x:v>
      </x:c>
      <x:c r="G448" s="40" t="n">
        <x:v>-5</x:v>
      </x:c>
      <x:c r="H448" s="42" t="n">
        <x:v>0.06673572277576631</x:v>
      </x:c>
      <x:c r="I448" s="17" t="n">
        <x:v>47</x:v>
      </x:c>
    </x:row>
    <x:row r="449">
      <x:c r="A449" s="13" t="str">
        <x:v>5m_event_local_4h_ibc_inbound_atom_to_spot_range_stress</x:v>
      </x:c>
      <x:c r="B449" s="13" t="str">
        <x:v>5m</x:v>
      </x:c>
      <x:c r="C449" s="13" t="str">
        <x:v>event_local_4h</x:v>
      </x:c>
      <x:c r="D449" s="13" t="str">
        <x:v>ibc_inbound_atom</x:v>
      </x:c>
      <x:c r="E449" s="13" t="str">
        <x:v>spot_range_stress</x:v>
      </x:c>
      <x:c r="F449" s="40" t="n">
        <x:v>0</x:v>
      </x:c>
      <x:c r="G449" s="40" t="n">
        <x:v>0</x:v>
      </x:c>
      <x:c r="H449" s="42" t="n">
        <x:v>-0.0031527486671052585</x:v>
      </x:c>
      <x:c r="I449" s="17" t="n">
        <x:v>48</x:v>
      </x:c>
    </x:row>
    <x:row r="450">
      <x:c r="A450" s="13" t="str">
        <x:v>5m_event_local_4h_ibc_inbound_atom_to_spot_range_stress</x:v>
      </x:c>
      <x:c r="B450" s="13" t="str">
        <x:v>5m</x:v>
      </x:c>
      <x:c r="C450" s="13" t="str">
        <x:v>event_local_4h</x:v>
      </x:c>
      <x:c r="D450" s="13" t="str">
        <x:v>ibc_inbound_atom</x:v>
      </x:c>
      <x:c r="E450" s="13" t="str">
        <x:v>spot_range_stress</x:v>
      </x:c>
      <x:c r="F450" s="40" t="n">
        <x:v>1</x:v>
      </x:c>
      <x:c r="G450" s="40" t="n">
        <x:v>5</x:v>
      </x:c>
      <x:c r="H450" s="42" t="n">
        <x:v>0.029824013508986853</x:v>
      </x:c>
      <x:c r="I450" s="17" t="n">
        <x:v>47</x:v>
      </x:c>
    </x:row>
    <x:row r="451">
      <x:c r="A451" s="13" t="str">
        <x:v>5m_event_local_4h_ibc_inbound_atom_to_spot_range_stress</x:v>
      </x:c>
      <x:c r="B451" s="13" t="str">
        <x:v>5m</x:v>
      </x:c>
      <x:c r="C451" s="13" t="str">
        <x:v>event_local_4h</x:v>
      </x:c>
      <x:c r="D451" s="13" t="str">
        <x:v>ibc_inbound_atom</x:v>
      </x:c>
      <x:c r="E451" s="13" t="str">
        <x:v>spot_range_stress</x:v>
      </x:c>
      <x:c r="F451" s="40" t="n">
        <x:v>2</x:v>
      </x:c>
      <x:c r="G451" s="40" t="n">
        <x:v>10</x:v>
      </x:c>
      <x:c r="H451" s="42" t="n">
        <x:v>-0.12265898302283407</x:v>
      </x:c>
      <x:c r="I451" s="17" t="n">
        <x:v>46</x:v>
      </x:c>
    </x:row>
    <x:row r="452">
      <x:c r="A452" s="13" t="str">
        <x:v>5m_event_local_4h_ibc_inbound_atom_to_spot_range_stress</x:v>
      </x:c>
      <x:c r="B452" s="13" t="str">
        <x:v>5m</x:v>
      </x:c>
      <x:c r="C452" s="13" t="str">
        <x:v>event_local_4h</x:v>
      </x:c>
      <x:c r="D452" s="13" t="str">
        <x:v>ibc_inbound_atom</x:v>
      </x:c>
      <x:c r="E452" s="13" t="str">
        <x:v>spot_range_stress</x:v>
      </x:c>
      <x:c r="F452" s="40" t="n">
        <x:v>3</x:v>
      </x:c>
      <x:c r="G452" s="40" t="n">
        <x:v>15</x:v>
      </x:c>
      <x:c r="H452" s="42" t="n">
        <x:v>0.042341284146276026</x:v>
      </x:c>
      <x:c r="I452" s="17" t="n">
        <x:v>45</x:v>
      </x:c>
    </x:row>
    <x:row r="453">
      <x:c r="A453" s="13" t="str">
        <x:v>5m_event_local_4h_ibc_inbound_atom_to_spot_range_stress</x:v>
      </x:c>
      <x:c r="B453" s="13" t="str">
        <x:v>5m</x:v>
      </x:c>
      <x:c r="C453" s="13" t="str">
        <x:v>event_local_4h</x:v>
      </x:c>
      <x:c r="D453" s="13" t="str">
        <x:v>ibc_inbound_atom</x:v>
      </x:c>
      <x:c r="E453" s="13" t="str">
        <x:v>spot_range_stress</x:v>
      </x:c>
      <x:c r="F453" s="40" t="n">
        <x:v>4</x:v>
      </x:c>
      <x:c r="G453" s="40" t="n">
        <x:v>20</x:v>
      </x:c>
      <x:c r="H453" s="42" t="n">
        <x:v>-0.06962677956496666</x:v>
      </x:c>
      <x:c r="I453" s="17" t="n">
        <x:v>44</x:v>
      </x:c>
    </x:row>
    <x:row r="454">
      <x:c r="A454" s="13" t="str">
        <x:v>5m_event_local_4h_ibc_inbound_atom_to_spot_range_stress</x:v>
      </x:c>
      <x:c r="B454" s="13" t="str">
        <x:v>5m</x:v>
      </x:c>
      <x:c r="C454" s="13" t="str">
        <x:v>event_local_4h</x:v>
      </x:c>
      <x:c r="D454" s="13" t="str">
        <x:v>ibc_inbound_atom</x:v>
      </x:c>
      <x:c r="E454" s="13" t="str">
        <x:v>spot_range_stress</x:v>
      </x:c>
      <x:c r="F454" s="40" t="n">
        <x:v>5</x:v>
      </x:c>
      <x:c r="G454" s="40" t="n">
        <x:v>25</x:v>
      </x:c>
      <x:c r="H454" s="42" t="n">
        <x:v>-0.043720444189840724</x:v>
      </x:c>
      <x:c r="I454" s="17" t="n">
        <x:v>43</x:v>
      </x:c>
    </x:row>
    <x:row r="455">
      <x:c r="A455" s="13" t="str">
        <x:v>5m_event_local_4h_ibc_inbound_atom_to_spot_range_stress</x:v>
      </x:c>
      <x:c r="B455" s="13" t="str">
        <x:v>5m</x:v>
      </x:c>
      <x:c r="C455" s="13" t="str">
        <x:v>event_local_4h</x:v>
      </x:c>
      <x:c r="D455" s="13" t="str">
        <x:v>ibc_inbound_atom</x:v>
      </x:c>
      <x:c r="E455" s="13" t="str">
        <x:v>spot_range_stress</x:v>
      </x:c>
      <x:c r="F455" s="40" t="n">
        <x:v>6</x:v>
      </x:c>
      <x:c r="G455" s="40" t="n">
        <x:v>30</x:v>
      </x:c>
      <x:c r="H455" s="42" t="n">
        <x:v>-0.15753852175110164</x:v>
      </x:c>
      <x:c r="I455" s="17" t="n">
        <x:v>42</x:v>
      </x:c>
    </x:row>
    <x:row r="456">
      <x:c r="A456" s="13" t="str">
        <x:v>5m_event_local_4h_ibc_inbound_atom_to_spot_range_stress</x:v>
      </x:c>
      <x:c r="B456" s="13" t="str">
        <x:v>5m</x:v>
      </x:c>
      <x:c r="C456" s="13" t="str">
        <x:v>event_local_4h</x:v>
      </x:c>
      <x:c r="D456" s="13" t="str">
        <x:v>ibc_inbound_atom</x:v>
      </x:c>
      <x:c r="E456" s="13" t="str">
        <x:v>spot_range_stress</x:v>
      </x:c>
      <x:c r="F456" s="40" t="n">
        <x:v>7</x:v>
      </x:c>
      <x:c r="G456" s="40" t="n">
        <x:v>35</x:v>
      </x:c>
      <x:c r="H456" s="42" t="n">
        <x:v>-0.38333889262117726</x:v>
      </x:c>
      <x:c r="I456" s="17" t="n">
        <x:v>41</x:v>
      </x:c>
    </x:row>
    <x:row r="457">
      <x:c r="A457" s="13" t="str">
        <x:v>5m_event_local_4h_ibc_inbound_atom_to_spot_range_stress</x:v>
      </x:c>
      <x:c r="B457" s="13" t="str">
        <x:v>5m</x:v>
      </x:c>
      <x:c r="C457" s="13" t="str">
        <x:v>event_local_4h</x:v>
      </x:c>
      <x:c r="D457" s="13" t="str">
        <x:v>ibc_inbound_atom</x:v>
      </x:c>
      <x:c r="E457" s="13" t="str">
        <x:v>spot_range_stress</x:v>
      </x:c>
      <x:c r="F457" s="40" t="n">
        <x:v>8</x:v>
      </x:c>
      <x:c r="G457" s="40" t="n">
        <x:v>40</x:v>
      </x:c>
      <x:c r="H457" s="42" t="n">
        <x:v>-0.23777453225560602</x:v>
      </x:c>
      <x:c r="I457" s="17" t="n">
        <x:v>40</x:v>
      </x:c>
    </x:row>
    <x:row r="458">
      <x:c r="A458" s="13" t="str">
        <x:v>5m_event_local_4h_ibc_inbound_atom_to_spot_range_stress</x:v>
      </x:c>
      <x:c r="B458" s="13" t="str">
        <x:v>5m</x:v>
      </x:c>
      <x:c r="C458" s="13" t="str">
        <x:v>event_local_4h</x:v>
      </x:c>
      <x:c r="D458" s="13" t="str">
        <x:v>ibc_inbound_atom</x:v>
      </x:c>
      <x:c r="E458" s="13" t="str">
        <x:v>spot_range_stress</x:v>
      </x:c>
      <x:c r="F458" s="40" t="n">
        <x:v>9</x:v>
      </x:c>
      <x:c r="G458" s="40" t="n">
        <x:v>45</x:v>
      </x:c>
      <x:c r="H458" s="42" t="n">
        <x:v>0.0067943622288899365</x:v>
      </x:c>
      <x:c r="I458" s="17" t="n">
        <x:v>39</x:v>
      </x:c>
    </x:row>
    <x:row r="459">
      <x:c r="A459" s="13" t="str">
        <x:v>5m_event_local_4h_ibc_inbound_atom_to_spot_range_stress</x:v>
      </x:c>
      <x:c r="B459" s="13" t="str">
        <x:v>5m</x:v>
      </x:c>
      <x:c r="C459" s="13" t="str">
        <x:v>event_local_4h</x:v>
      </x:c>
      <x:c r="D459" s="13" t="str">
        <x:v>ibc_inbound_atom</x:v>
      </x:c>
      <x:c r="E459" s="13" t="str">
        <x:v>spot_range_stress</x:v>
      </x:c>
      <x:c r="F459" s="40" t="n">
        <x:v>10</x:v>
      </x:c>
      <x:c r="G459" s="40" t="n">
        <x:v>50</x:v>
      </x:c>
      <x:c r="H459" s="42" t="n">
        <x:v>-0.2434870040818481</x:v>
      </x:c>
      <x:c r="I459" s="17" t="n">
        <x:v>38</x:v>
      </x:c>
    </x:row>
    <x:row r="460">
      <x:c r="A460" s="13" t="str">
        <x:v>5m_event_local_4h_ibc_inbound_atom_to_spot_range_stress</x:v>
      </x:c>
      <x:c r="B460" s="13" t="str">
        <x:v>5m</x:v>
      </x:c>
      <x:c r="C460" s="13" t="str">
        <x:v>event_local_4h</x:v>
      </x:c>
      <x:c r="D460" s="13" t="str">
        <x:v>ibc_inbound_atom</x:v>
      </x:c>
      <x:c r="E460" s="13" t="str">
        <x:v>spot_range_stress</x:v>
      </x:c>
      <x:c r="F460" s="40" t="n">
        <x:v>11</x:v>
      </x:c>
      <x:c r="G460" s="40" t="n">
        <x:v>55</x:v>
      </x:c>
      <x:c r="H460" s="42" t="n">
        <x:v>-0.0246036564719899</x:v>
      </x:c>
      <x:c r="I460" s="17" t="n">
        <x:v>37</x:v>
      </x:c>
    </x:row>
    <x:row r="461">
      <x:c r="A461" s="13" t="str">
        <x:v>5m_event_local_4h_ibc_inbound_atom_to_spot_range_stress</x:v>
      </x:c>
      <x:c r="B461" s="13" t="str">
        <x:v>5m</x:v>
      </x:c>
      <x:c r="C461" s="13" t="str">
        <x:v>event_local_4h</x:v>
      </x:c>
      <x:c r="D461" s="13" t="str">
        <x:v>ibc_inbound_atom</x:v>
      </x:c>
      <x:c r="E461" s="13" t="str">
        <x:v>spot_range_stress</x:v>
      </x:c>
      <x:c r="F461" s="40" t="n">
        <x:v>12</x:v>
      </x:c>
      <x:c r="G461" s="40" t="n">
        <x:v>60</x:v>
      </x:c>
      <x:c r="H461" s="42" t="n">
        <x:v>-0.0017516024277707412</x:v>
      </x:c>
      <x:c r="I461" s="17" t="n">
        <x:v>36</x:v>
      </x:c>
    </x:row>
    <x:row r="462">
      <x:c r="A462" s="13" t="str">
        <x:v>5m_event_local_4h_ibc_outbound_atom_to_spot_range_stress</x:v>
      </x:c>
      <x:c r="B462" s="13" t="str">
        <x:v>5m</x:v>
      </x:c>
      <x:c r="C462" s="13" t="str">
        <x:v>event_local_4h</x:v>
      </x:c>
      <x:c r="D462" s="13" t="str">
        <x:v>ibc_outbound_atom</x:v>
      </x:c>
      <x:c r="E462" s="13" t="str">
        <x:v>spot_range_stress</x:v>
      </x:c>
      <x:c r="F462" s="40" t="n">
        <x:v>-12</x:v>
      </x:c>
      <x:c r="G462" s="40" t="n">
        <x:v>-60</x:v>
      </x:c>
      <x:c r="H462" s="42" t="n">
        <x:v>0.1291791188150858</x:v>
      </x:c>
      <x:c r="I462" s="17" t="n">
        <x:v>36</x:v>
      </x:c>
    </x:row>
    <x:row r="463">
      <x:c r="A463" s="13" t="str">
        <x:v>5m_event_local_4h_ibc_outbound_atom_to_spot_range_stress</x:v>
      </x:c>
      <x:c r="B463" s="13" t="str">
        <x:v>5m</x:v>
      </x:c>
      <x:c r="C463" s="13" t="str">
        <x:v>event_local_4h</x:v>
      </x:c>
      <x:c r="D463" s="13" t="str">
        <x:v>ibc_outbound_atom</x:v>
      </x:c>
      <x:c r="E463" s="13" t="str">
        <x:v>spot_range_stress</x:v>
      </x:c>
      <x:c r="F463" s="40" t="n">
        <x:v>-11</x:v>
      </x:c>
      <x:c r="G463" s="40" t="n">
        <x:v>-55</x:v>
      </x:c>
      <x:c r="H463" s="42" t="n">
        <x:v>0.12060049194480084</x:v>
      </x:c>
      <x:c r="I463" s="17" t="n">
        <x:v>37</x:v>
      </x:c>
    </x:row>
    <x:row r="464">
      <x:c r="A464" s="13" t="str">
        <x:v>5m_event_local_4h_ibc_outbound_atom_to_spot_range_stress</x:v>
      </x:c>
      <x:c r="B464" s="13" t="str">
        <x:v>5m</x:v>
      </x:c>
      <x:c r="C464" s="13" t="str">
        <x:v>event_local_4h</x:v>
      </x:c>
      <x:c r="D464" s="13" t="str">
        <x:v>ibc_outbound_atom</x:v>
      </x:c>
      <x:c r="E464" s="13" t="str">
        <x:v>spot_range_stress</x:v>
      </x:c>
      <x:c r="F464" s="40" t="n">
        <x:v>-10</x:v>
      </x:c>
      <x:c r="G464" s="40" t="n">
        <x:v>-50</x:v>
      </x:c>
      <x:c r="H464" s="42" t="n">
        <x:v>0.0988795457263426</x:v>
      </x:c>
      <x:c r="I464" s="17" t="n">
        <x:v>38</x:v>
      </x:c>
    </x:row>
    <x:row r="465">
      <x:c r="A465" s="13" t="str">
        <x:v>5m_event_local_4h_ibc_outbound_atom_to_spot_range_stress</x:v>
      </x:c>
      <x:c r="B465" s="13" t="str">
        <x:v>5m</x:v>
      </x:c>
      <x:c r="C465" s="13" t="str">
        <x:v>event_local_4h</x:v>
      </x:c>
      <x:c r="D465" s="13" t="str">
        <x:v>ibc_outbound_atom</x:v>
      </x:c>
      <x:c r="E465" s="13" t="str">
        <x:v>spot_range_stress</x:v>
      </x:c>
      <x:c r="F465" s="40" t="n">
        <x:v>-9</x:v>
      </x:c>
      <x:c r="G465" s="40" t="n">
        <x:v>-45</x:v>
      </x:c>
      <x:c r="H465" s="42" t="n">
        <x:v>0.08022559717662218</x:v>
      </x:c>
      <x:c r="I465" s="17" t="n">
        <x:v>39</x:v>
      </x:c>
    </x:row>
    <x:row r="466">
      <x:c r="A466" s="13" t="str">
        <x:v>5m_event_local_4h_ibc_outbound_atom_to_spot_range_stress</x:v>
      </x:c>
      <x:c r="B466" s="13" t="str">
        <x:v>5m</x:v>
      </x:c>
      <x:c r="C466" s="13" t="str">
        <x:v>event_local_4h</x:v>
      </x:c>
      <x:c r="D466" s="13" t="str">
        <x:v>ibc_outbound_atom</x:v>
      </x:c>
      <x:c r="E466" s="13" t="str">
        <x:v>spot_range_stress</x:v>
      </x:c>
      <x:c r="F466" s="40" t="n">
        <x:v>-8</x:v>
      </x:c>
      <x:c r="G466" s="40" t="n">
        <x:v>-40</x:v>
      </x:c>
      <x:c r="H466" s="42" t="n">
        <x:v>0.177582134204425</x:v>
      </x:c>
      <x:c r="I466" s="17" t="n">
        <x:v>40</x:v>
      </x:c>
    </x:row>
    <x:row r="467">
      <x:c r="A467" s="13" t="str">
        <x:v>5m_event_local_4h_ibc_outbound_atom_to_spot_range_stress</x:v>
      </x:c>
      <x:c r="B467" s="13" t="str">
        <x:v>5m</x:v>
      </x:c>
      <x:c r="C467" s="13" t="str">
        <x:v>event_local_4h</x:v>
      </x:c>
      <x:c r="D467" s="13" t="str">
        <x:v>ibc_outbound_atom</x:v>
      </x:c>
      <x:c r="E467" s="13" t="str">
        <x:v>spot_range_stress</x:v>
      </x:c>
      <x:c r="F467" s="40" t="n">
        <x:v>-7</x:v>
      </x:c>
      <x:c r="G467" s="40" t="n">
        <x:v>-35</x:v>
      </x:c>
      <x:c r="H467" s="42" t="n">
        <x:v>0.03413934530285588</x:v>
      </x:c>
      <x:c r="I467" s="17" t="n">
        <x:v>41</x:v>
      </x:c>
    </x:row>
    <x:row r="468">
      <x:c r="A468" s="13" t="str">
        <x:v>5m_event_local_4h_ibc_outbound_atom_to_spot_range_stress</x:v>
      </x:c>
      <x:c r="B468" s="13" t="str">
        <x:v>5m</x:v>
      </x:c>
      <x:c r="C468" s="13" t="str">
        <x:v>event_local_4h</x:v>
      </x:c>
      <x:c r="D468" s="13" t="str">
        <x:v>ibc_outbound_atom</x:v>
      </x:c>
      <x:c r="E468" s="13" t="str">
        <x:v>spot_range_stress</x:v>
      </x:c>
      <x:c r="F468" s="40" t="n">
        <x:v>-6</x:v>
      </x:c>
      <x:c r="G468" s="40" t="n">
        <x:v>-30</x:v>
      </x:c>
      <x:c r="H468" s="42" t="n">
        <x:v>0.09273531749071733</x:v>
      </x:c>
      <x:c r="I468" s="17" t="n">
        <x:v>42</x:v>
      </x:c>
    </x:row>
    <x:row r="469">
      <x:c r="A469" s="13" t="str">
        <x:v>5m_event_local_4h_ibc_outbound_atom_to_spot_range_stress</x:v>
      </x:c>
      <x:c r="B469" s="13" t="str">
        <x:v>5m</x:v>
      </x:c>
      <x:c r="C469" s="13" t="str">
        <x:v>event_local_4h</x:v>
      </x:c>
      <x:c r="D469" s="13" t="str">
        <x:v>ibc_outbound_atom</x:v>
      </x:c>
      <x:c r="E469" s="13" t="str">
        <x:v>spot_range_stress</x:v>
      </x:c>
      <x:c r="F469" s="40" t="n">
        <x:v>-5</x:v>
      </x:c>
      <x:c r="G469" s="40" t="n">
        <x:v>-25</x:v>
      </x:c>
      <x:c r="H469" s="42" t="n">
        <x:v>0.1118965027825783</x:v>
      </x:c>
      <x:c r="I469" s="17" t="n">
        <x:v>43</x:v>
      </x:c>
    </x:row>
    <x:row r="470">
      <x:c r="A470" s="13" t="str">
        <x:v>5m_event_local_4h_ibc_outbound_atom_to_spot_range_stress</x:v>
      </x:c>
      <x:c r="B470" s="13" t="str">
        <x:v>5m</x:v>
      </x:c>
      <x:c r="C470" s="13" t="str">
        <x:v>event_local_4h</x:v>
      </x:c>
      <x:c r="D470" s="13" t="str">
        <x:v>ibc_outbound_atom</x:v>
      </x:c>
      <x:c r="E470" s="13" t="str">
        <x:v>spot_range_stress</x:v>
      </x:c>
      <x:c r="F470" s="40" t="n">
        <x:v>-4</x:v>
      </x:c>
      <x:c r="G470" s="40" t="n">
        <x:v>-20</x:v>
      </x:c>
      <x:c r="H470" s="42" t="n">
        <x:v>0.2884161893147431</x:v>
      </x:c>
      <x:c r="I470" s="17" t="n">
        <x:v>44</x:v>
      </x:c>
    </x:row>
    <x:row r="471">
      <x:c r="A471" s="13" t="str">
        <x:v>5m_event_local_4h_ibc_outbound_atom_to_spot_range_stress</x:v>
      </x:c>
      <x:c r="B471" s="13" t="str">
        <x:v>5m</x:v>
      </x:c>
      <x:c r="C471" s="13" t="str">
        <x:v>event_local_4h</x:v>
      </x:c>
      <x:c r="D471" s="13" t="str">
        <x:v>ibc_outbound_atom</x:v>
      </x:c>
      <x:c r="E471" s="13" t="str">
        <x:v>spot_range_stress</x:v>
      </x:c>
      <x:c r="F471" s="40" t="n">
        <x:v>-3</x:v>
      </x:c>
      <x:c r="G471" s="40" t="n">
        <x:v>-15</x:v>
      </x:c>
      <x:c r="H471" s="42" t="n">
        <x:v>0.04714583985040177</x:v>
      </x:c>
      <x:c r="I471" s="17" t="n">
        <x:v>45</x:v>
      </x:c>
    </x:row>
    <x:row r="472">
      <x:c r="A472" s="13" t="str">
        <x:v>5m_event_local_4h_ibc_outbound_atom_to_spot_range_stress</x:v>
      </x:c>
      <x:c r="B472" s="13" t="str">
        <x:v>5m</x:v>
      </x:c>
      <x:c r="C472" s="13" t="str">
        <x:v>event_local_4h</x:v>
      </x:c>
      <x:c r="D472" s="13" t="str">
        <x:v>ibc_outbound_atom</x:v>
      </x:c>
      <x:c r="E472" s="13" t="str">
        <x:v>spot_range_stress</x:v>
      </x:c>
      <x:c r="F472" s="40" t="n">
        <x:v>-2</x:v>
      </x:c>
      <x:c r="G472" s="40" t="n">
        <x:v>-10</x:v>
      </x:c>
      <x:c r="H472" s="42" t="n">
        <x:v>0.038062072701064494</x:v>
      </x:c>
      <x:c r="I472" s="17" t="n">
        <x:v>46</x:v>
      </x:c>
    </x:row>
    <x:row r="473">
      <x:c r="A473" s="13" t="str">
        <x:v>5m_event_local_4h_ibc_outbound_atom_to_spot_range_stress</x:v>
      </x:c>
      <x:c r="B473" s="13" t="str">
        <x:v>5m</x:v>
      </x:c>
      <x:c r="C473" s="13" t="str">
        <x:v>event_local_4h</x:v>
      </x:c>
      <x:c r="D473" s="13" t="str">
        <x:v>ibc_outbound_atom</x:v>
      </x:c>
      <x:c r="E473" s="13" t="str">
        <x:v>spot_range_stress</x:v>
      </x:c>
      <x:c r="F473" s="40" t="n">
        <x:v>-1</x:v>
      </x:c>
      <x:c r="G473" s="40" t="n">
        <x:v>-5</x:v>
      </x:c>
      <x:c r="H473" s="42" t="n">
        <x:v>0.05909742316321674</x:v>
      </x:c>
      <x:c r="I473" s="17" t="n">
        <x:v>47</x:v>
      </x:c>
    </x:row>
    <x:row r="474">
      <x:c r="A474" s="13" t="str">
        <x:v>5m_event_local_4h_ibc_outbound_atom_to_spot_range_stress</x:v>
      </x:c>
      <x:c r="B474" s="13" t="str">
        <x:v>5m</x:v>
      </x:c>
      <x:c r="C474" s="13" t="str">
        <x:v>event_local_4h</x:v>
      </x:c>
      <x:c r="D474" s="13" t="str">
        <x:v>ibc_outbound_atom</x:v>
      </x:c>
      <x:c r="E474" s="13" t="str">
        <x:v>spot_range_stress</x:v>
      </x:c>
      <x:c r="F474" s="40" t="n">
        <x:v>0</x:v>
      </x:c>
      <x:c r="G474" s="40" t="n">
        <x:v>0</x:v>
      </x:c>
      <x:c r="H474" s="42" t="n">
        <x:v>0.0710325850444147</x:v>
      </x:c>
      <x:c r="I474" s="17" t="n">
        <x:v>48</x:v>
      </x:c>
    </x:row>
    <x:row r="475">
      <x:c r="A475" s="13" t="str">
        <x:v>5m_event_local_4h_ibc_outbound_atom_to_spot_range_stress</x:v>
      </x:c>
      <x:c r="B475" s="13" t="str">
        <x:v>5m</x:v>
      </x:c>
      <x:c r="C475" s="13" t="str">
        <x:v>event_local_4h</x:v>
      </x:c>
      <x:c r="D475" s="13" t="str">
        <x:v>ibc_outbound_atom</x:v>
      </x:c>
      <x:c r="E475" s="13" t="str">
        <x:v>spot_range_stress</x:v>
      </x:c>
      <x:c r="F475" s="40" t="n">
        <x:v>1</x:v>
      </x:c>
      <x:c r="G475" s="40" t="n">
        <x:v>5</x:v>
      </x:c>
      <x:c r="H475" s="42" t="n">
        <x:v>0.12031963370279808</x:v>
      </x:c>
      <x:c r="I475" s="17" t="n">
        <x:v>47</x:v>
      </x:c>
    </x:row>
    <x:row r="476">
      <x:c r="A476" s="13" t="str">
        <x:v>5m_event_local_4h_ibc_outbound_atom_to_spot_range_stress</x:v>
      </x:c>
      <x:c r="B476" s="13" t="str">
        <x:v>5m</x:v>
      </x:c>
      <x:c r="C476" s="13" t="str">
        <x:v>event_local_4h</x:v>
      </x:c>
      <x:c r="D476" s="13" t="str">
        <x:v>ibc_outbound_atom</x:v>
      </x:c>
      <x:c r="E476" s="13" t="str">
        <x:v>spot_range_stress</x:v>
      </x:c>
      <x:c r="F476" s="40" t="n">
        <x:v>2</x:v>
      </x:c>
      <x:c r="G476" s="40" t="n">
        <x:v>10</x:v>
      </x:c>
      <x:c r="H476" s="42" t="n">
        <x:v>0.06342104435069362</x:v>
      </x:c>
      <x:c r="I476" s="17" t="n">
        <x:v>46</x:v>
      </x:c>
    </x:row>
    <x:row r="477">
      <x:c r="A477" s="13" t="str">
        <x:v>5m_event_local_4h_ibc_outbound_atom_to_spot_range_stress</x:v>
      </x:c>
      <x:c r="B477" s="13" t="str">
        <x:v>5m</x:v>
      </x:c>
      <x:c r="C477" s="13" t="str">
        <x:v>event_local_4h</x:v>
      </x:c>
      <x:c r="D477" s="13" t="str">
        <x:v>ibc_outbound_atom</x:v>
      </x:c>
      <x:c r="E477" s="13" t="str">
        <x:v>spot_range_stress</x:v>
      </x:c>
      <x:c r="F477" s="40" t="n">
        <x:v>3</x:v>
      </x:c>
      <x:c r="G477" s="40" t="n">
        <x:v>15</x:v>
      </x:c>
      <x:c r="H477" s="42" t="n">
        <x:v>0.06784402115960848</x:v>
      </x:c>
      <x:c r="I477" s="17" t="n">
        <x:v>45</x:v>
      </x:c>
    </x:row>
    <x:row r="478">
      <x:c r="A478" s="13" t="str">
        <x:v>5m_event_local_4h_ibc_outbound_atom_to_spot_range_stress</x:v>
      </x:c>
      <x:c r="B478" s="13" t="str">
        <x:v>5m</x:v>
      </x:c>
      <x:c r="C478" s="13" t="str">
        <x:v>event_local_4h</x:v>
      </x:c>
      <x:c r="D478" s="13" t="str">
        <x:v>ibc_outbound_atom</x:v>
      </x:c>
      <x:c r="E478" s="13" t="str">
        <x:v>spot_range_stress</x:v>
      </x:c>
      <x:c r="F478" s="40" t="n">
        <x:v>4</x:v>
      </x:c>
      <x:c r="G478" s="40" t="n">
        <x:v>20</x:v>
      </x:c>
      <x:c r="H478" s="42" t="n">
        <x:v>0.0790889763310936</x:v>
      </x:c>
      <x:c r="I478" s="17" t="n">
        <x:v>44</x:v>
      </x:c>
    </x:row>
    <x:row r="479">
      <x:c r="A479" s="13" t="str">
        <x:v>5m_event_local_4h_ibc_outbound_atom_to_spot_range_stress</x:v>
      </x:c>
      <x:c r="B479" s="13" t="str">
        <x:v>5m</x:v>
      </x:c>
      <x:c r="C479" s="13" t="str">
        <x:v>event_local_4h</x:v>
      </x:c>
      <x:c r="D479" s="13" t="str">
        <x:v>ibc_outbound_atom</x:v>
      </x:c>
      <x:c r="E479" s="13" t="str">
        <x:v>spot_range_stress</x:v>
      </x:c>
      <x:c r="F479" s="40" t="n">
        <x:v>5</x:v>
      </x:c>
      <x:c r="G479" s="40" t="n">
        <x:v>25</x:v>
      </x:c>
      <x:c r="H479" s="42" t="n">
        <x:v>0.094928490775592</x:v>
      </x:c>
      <x:c r="I479" s="17" t="n">
        <x:v>43</x:v>
      </x:c>
    </x:row>
    <x:row r="480">
      <x:c r="A480" s="13" t="str">
        <x:v>5m_event_local_4h_ibc_outbound_atom_to_spot_range_stress</x:v>
      </x:c>
      <x:c r="B480" s="13" t="str">
        <x:v>5m</x:v>
      </x:c>
      <x:c r="C480" s="13" t="str">
        <x:v>event_local_4h</x:v>
      </x:c>
      <x:c r="D480" s="13" t="str">
        <x:v>ibc_outbound_atom</x:v>
      </x:c>
      <x:c r="E480" s="13" t="str">
        <x:v>spot_range_stress</x:v>
      </x:c>
      <x:c r="F480" s="40" t="n">
        <x:v>6</x:v>
      </x:c>
      <x:c r="G480" s="40" t="n">
        <x:v>30</x:v>
      </x:c>
      <x:c r="H480" s="42" t="n">
        <x:v>0.1255073282053487</x:v>
      </x:c>
      <x:c r="I480" s="17" t="n">
        <x:v>42</x:v>
      </x:c>
    </x:row>
    <x:row r="481">
      <x:c r="A481" s="13" t="str">
        <x:v>5m_event_local_4h_ibc_outbound_atom_to_spot_range_stress</x:v>
      </x:c>
      <x:c r="B481" s="13" t="str">
        <x:v>5m</x:v>
      </x:c>
      <x:c r="C481" s="13" t="str">
        <x:v>event_local_4h</x:v>
      </x:c>
      <x:c r="D481" s="13" t="str">
        <x:v>ibc_outbound_atom</x:v>
      </x:c>
      <x:c r="E481" s="13" t="str">
        <x:v>spot_range_stress</x:v>
      </x:c>
      <x:c r="F481" s="40" t="n">
        <x:v>7</x:v>
      </x:c>
      <x:c r="G481" s="40" t="n">
        <x:v>35</x:v>
      </x:c>
      <x:c r="H481" s="42" t="n">
        <x:v>-0.3023672561225258</x:v>
      </x:c>
      <x:c r="I481" s="17" t="n">
        <x:v>41</x:v>
      </x:c>
    </x:row>
    <x:row r="482">
      <x:c r="A482" s="13" t="str">
        <x:v>5m_event_local_4h_ibc_outbound_atom_to_spot_range_stress</x:v>
      </x:c>
      <x:c r="B482" s="13" t="str">
        <x:v>5m</x:v>
      </x:c>
      <x:c r="C482" s="13" t="str">
        <x:v>event_local_4h</x:v>
      </x:c>
      <x:c r="D482" s="13" t="str">
        <x:v>ibc_outbound_atom</x:v>
      </x:c>
      <x:c r="E482" s="13" t="str">
        <x:v>spot_range_stress</x:v>
      </x:c>
      <x:c r="F482" s="40" t="n">
        <x:v>8</x:v>
      </x:c>
      <x:c r="G482" s="40" t="n">
        <x:v>40</x:v>
      </x:c>
      <x:c r="H482" s="42" t="n">
        <x:v>-0.16601157282580456</x:v>
      </x:c>
      <x:c r="I482" s="17" t="n">
        <x:v>40</x:v>
      </x:c>
    </x:row>
    <x:row r="483">
      <x:c r="A483" s="13" t="str">
        <x:v>5m_event_local_4h_ibc_outbound_atom_to_spot_range_stress</x:v>
      </x:c>
      <x:c r="B483" s="13" t="str">
        <x:v>5m</x:v>
      </x:c>
      <x:c r="C483" s="13" t="str">
        <x:v>event_local_4h</x:v>
      </x:c>
      <x:c r="D483" s="13" t="str">
        <x:v>ibc_outbound_atom</x:v>
      </x:c>
      <x:c r="E483" s="13" t="str">
        <x:v>spot_range_stress</x:v>
      </x:c>
      <x:c r="F483" s="40" t="n">
        <x:v>9</x:v>
      </x:c>
      <x:c r="G483" s="40" t="n">
        <x:v>45</x:v>
      </x:c>
      <x:c r="H483" s="42" t="n">
        <x:v>0.03157467627446539</x:v>
      </x:c>
      <x:c r="I483" s="17" t="n">
        <x:v>39</x:v>
      </x:c>
    </x:row>
    <x:row r="484">
      <x:c r="A484" s="13" t="str">
        <x:v>5m_event_local_4h_ibc_outbound_atom_to_spot_range_stress</x:v>
      </x:c>
      <x:c r="B484" s="13" t="str">
        <x:v>5m</x:v>
      </x:c>
      <x:c r="C484" s="13" t="str">
        <x:v>event_local_4h</x:v>
      </x:c>
      <x:c r="D484" s="13" t="str">
        <x:v>ibc_outbound_atom</x:v>
      </x:c>
      <x:c r="E484" s="13" t="str">
        <x:v>spot_range_stress</x:v>
      </x:c>
      <x:c r="F484" s="40" t="n">
        <x:v>10</x:v>
      </x:c>
      <x:c r="G484" s="40" t="n">
        <x:v>50</x:v>
      </x:c>
      <x:c r="H484" s="42" t="n">
        <x:v>-0.2286720963405391</x:v>
      </x:c>
      <x:c r="I484" s="17" t="n">
        <x:v>38</x:v>
      </x:c>
    </x:row>
    <x:row r="485">
      <x:c r="A485" s="13" t="str">
        <x:v>5m_event_local_4h_ibc_outbound_atom_to_spot_range_stress</x:v>
      </x:c>
      <x:c r="B485" s="13" t="str">
        <x:v>5m</x:v>
      </x:c>
      <x:c r="C485" s="13" t="str">
        <x:v>event_local_4h</x:v>
      </x:c>
      <x:c r="D485" s="13" t="str">
        <x:v>ibc_outbound_atom</x:v>
      </x:c>
      <x:c r="E485" s="13" t="str">
        <x:v>spot_range_stress</x:v>
      </x:c>
      <x:c r="F485" s="40" t="n">
        <x:v>11</x:v>
      </x:c>
      <x:c r="G485" s="40" t="n">
        <x:v>55</x:v>
      </x:c>
      <x:c r="H485" s="42" t="n">
        <x:v>-0.22182622034233812</x:v>
      </x:c>
      <x:c r="I485" s="17" t="n">
        <x:v>37</x:v>
      </x:c>
    </x:row>
    <x:row r="486">
      <x:c r="A486" s="13" t="str">
        <x:v>5m_event_local_4h_ibc_outbound_atom_to_spot_range_stress</x:v>
      </x:c>
      <x:c r="B486" s="13" t="str">
        <x:v>5m</x:v>
      </x:c>
      <x:c r="C486" s="13" t="str">
        <x:v>event_local_4h</x:v>
      </x:c>
      <x:c r="D486" s="13" t="str">
        <x:v>ibc_outbound_atom</x:v>
      </x:c>
      <x:c r="E486" s="13" t="str">
        <x:v>spot_range_stress</x:v>
      </x:c>
      <x:c r="F486" s="40" t="n">
        <x:v>12</x:v>
      </x:c>
      <x:c r="G486" s="40" t="n">
        <x:v>60</x:v>
      </x:c>
      <x:c r="H486" s="42" t="n">
        <x:v>-0.11270959565047918</x:v>
      </x:c>
      <x:c r="I486" s="17" t="n">
        <x:v>36</x:v>
      </x:c>
    </x:row>
    <x:row r="487">
      <x:c r="A487" s="13" t="str">
        <x:v>5m_event_local_4h_ibc_net_inbound_atom_to_spot_return</x:v>
      </x:c>
      <x:c r="B487" s="13" t="str">
        <x:v>5m</x:v>
      </x:c>
      <x:c r="C487" s="13" t="str">
        <x:v>event_local_4h</x:v>
      </x:c>
      <x:c r="D487" s="13" t="str">
        <x:v>ibc_net_inbound_atom</x:v>
      </x:c>
      <x:c r="E487" s="13" t="str">
        <x:v>spot_return</x:v>
      </x:c>
      <x:c r="F487" s="40" t="n">
        <x:v>-12</x:v>
      </x:c>
      <x:c r="G487" s="40" t="n">
        <x:v>-60</x:v>
      </x:c>
      <x:c r="H487" s="42" t="n">
        <x:v>0.017263888362496333</x:v>
      </x:c>
      <x:c r="I487" s="17" t="n">
        <x:v>36</x:v>
      </x:c>
    </x:row>
    <x:row r="488">
      <x:c r="A488" s="13" t="str">
        <x:v>5m_event_local_4h_ibc_net_inbound_atom_to_spot_return</x:v>
      </x:c>
      <x:c r="B488" s="13" t="str">
        <x:v>5m</x:v>
      </x:c>
      <x:c r="C488" s="13" t="str">
        <x:v>event_local_4h</x:v>
      </x:c>
      <x:c r="D488" s="13" t="str">
        <x:v>ibc_net_inbound_atom</x:v>
      </x:c>
      <x:c r="E488" s="13" t="str">
        <x:v>spot_return</x:v>
      </x:c>
      <x:c r="F488" s="40" t="n">
        <x:v>-11</x:v>
      </x:c>
      <x:c r="G488" s="40" t="n">
        <x:v>-55</x:v>
      </x:c>
      <x:c r="H488" s="42" t="n">
        <x:v>-0.049451243505324476</x:v>
      </x:c>
      <x:c r="I488" s="17" t="n">
        <x:v>37</x:v>
      </x:c>
    </x:row>
    <x:row r="489">
      <x:c r="A489" s="13" t="str">
        <x:v>5m_event_local_4h_ibc_net_inbound_atom_to_spot_return</x:v>
      </x:c>
      <x:c r="B489" s="13" t="str">
        <x:v>5m</x:v>
      </x:c>
      <x:c r="C489" s="13" t="str">
        <x:v>event_local_4h</x:v>
      </x:c>
      <x:c r="D489" s="13" t="str">
        <x:v>ibc_net_inbound_atom</x:v>
      </x:c>
      <x:c r="E489" s="13" t="str">
        <x:v>spot_return</x:v>
      </x:c>
      <x:c r="F489" s="40" t="n">
        <x:v>-10</x:v>
      </x:c>
      <x:c r="G489" s="40" t="n">
        <x:v>-50</x:v>
      </x:c>
      <x:c r="H489" s="42" t="n">
        <x:v>-0.2116093149888355</x:v>
      </x:c>
      <x:c r="I489" s="17" t="n">
        <x:v>38</x:v>
      </x:c>
    </x:row>
    <x:row r="490">
      <x:c r="A490" s="13" t="str">
        <x:v>5m_event_local_4h_ibc_net_inbound_atom_to_spot_return</x:v>
      </x:c>
      <x:c r="B490" s="13" t="str">
        <x:v>5m</x:v>
      </x:c>
      <x:c r="C490" s="13" t="str">
        <x:v>event_local_4h</x:v>
      </x:c>
      <x:c r="D490" s="13" t="str">
        <x:v>ibc_net_inbound_atom</x:v>
      </x:c>
      <x:c r="E490" s="13" t="str">
        <x:v>spot_return</x:v>
      </x:c>
      <x:c r="F490" s="40" t="n">
        <x:v>-9</x:v>
      </x:c>
      <x:c r="G490" s="40" t="n">
        <x:v>-45</x:v>
      </x:c>
      <x:c r="H490" s="42" t="n">
        <x:v>-0.1616862672352123</x:v>
      </x:c>
      <x:c r="I490" s="17" t="n">
        <x:v>39</x:v>
      </x:c>
    </x:row>
    <x:row r="491">
      <x:c r="A491" s="13" t="str">
        <x:v>5m_event_local_4h_ibc_net_inbound_atom_to_spot_return</x:v>
      </x:c>
      <x:c r="B491" s="13" t="str">
        <x:v>5m</x:v>
      </x:c>
      <x:c r="C491" s="13" t="str">
        <x:v>event_local_4h</x:v>
      </x:c>
      <x:c r="D491" s="13" t="str">
        <x:v>ibc_net_inbound_atom</x:v>
      </x:c>
      <x:c r="E491" s="13" t="str">
        <x:v>spot_return</x:v>
      </x:c>
      <x:c r="F491" s="40" t="n">
        <x:v>-8</x:v>
      </x:c>
      <x:c r="G491" s="40" t="n">
        <x:v>-40</x:v>
      </x:c>
      <x:c r="H491" s="42" t="n">
        <x:v>-0.08355585852729494</x:v>
      </x:c>
      <x:c r="I491" s="17" t="n">
        <x:v>40</x:v>
      </x:c>
    </x:row>
    <x:row r="492">
      <x:c r="A492" s="13" t="str">
        <x:v>5m_event_local_4h_ibc_net_inbound_atom_to_spot_return</x:v>
      </x:c>
      <x:c r="B492" s="13" t="str">
        <x:v>5m</x:v>
      </x:c>
      <x:c r="C492" s="13" t="str">
        <x:v>event_local_4h</x:v>
      </x:c>
      <x:c r="D492" s="13" t="str">
        <x:v>ibc_net_inbound_atom</x:v>
      </x:c>
      <x:c r="E492" s="13" t="str">
        <x:v>spot_return</x:v>
      </x:c>
      <x:c r="F492" s="40" t="n">
        <x:v>-7</x:v>
      </x:c>
      <x:c r="G492" s="40" t="n">
        <x:v>-35</x:v>
      </x:c>
      <x:c r="H492" s="42" t="n">
        <x:v>0.1871223781465013</x:v>
      </x:c>
      <x:c r="I492" s="17" t="n">
        <x:v>41</x:v>
      </x:c>
    </x:row>
    <x:row r="493">
      <x:c r="A493" s="13" t="str">
        <x:v>5m_event_local_4h_ibc_net_inbound_atom_to_spot_return</x:v>
      </x:c>
      <x:c r="B493" s="13" t="str">
        <x:v>5m</x:v>
      </x:c>
      <x:c r="C493" s="13" t="str">
        <x:v>event_local_4h</x:v>
      </x:c>
      <x:c r="D493" s="13" t="str">
        <x:v>ibc_net_inbound_atom</x:v>
      </x:c>
      <x:c r="E493" s="13" t="str">
        <x:v>spot_return</x:v>
      </x:c>
      <x:c r="F493" s="40" t="n">
        <x:v>-6</x:v>
      </x:c>
      <x:c r="G493" s="40" t="n">
        <x:v>-30</x:v>
      </x:c>
      <x:c r="H493" s="42" t="n">
        <x:v>0.3228757263838946</x:v>
      </x:c>
      <x:c r="I493" s="17" t="n">
        <x:v>42</x:v>
      </x:c>
    </x:row>
    <x:row r="494">
      <x:c r="A494" s="13" t="str">
        <x:v>5m_event_local_4h_ibc_net_inbound_atom_to_spot_return</x:v>
      </x:c>
      <x:c r="B494" s="13" t="str">
        <x:v>5m</x:v>
      </x:c>
      <x:c r="C494" s="13" t="str">
        <x:v>event_local_4h</x:v>
      </x:c>
      <x:c r="D494" s="13" t="str">
        <x:v>ibc_net_inbound_atom</x:v>
      </x:c>
      <x:c r="E494" s="13" t="str">
        <x:v>spot_return</x:v>
      </x:c>
      <x:c r="F494" s="40" t="n">
        <x:v>-5</x:v>
      </x:c>
      <x:c r="G494" s="40" t="n">
        <x:v>-25</x:v>
      </x:c>
      <x:c r="H494" s="42" t="n">
        <x:v>0.2748048172092866</x:v>
      </x:c>
      <x:c r="I494" s="17" t="n">
        <x:v>43</x:v>
      </x:c>
    </x:row>
    <x:row r="495">
      <x:c r="A495" s="13" t="str">
        <x:v>5m_event_local_4h_ibc_net_inbound_atom_to_spot_return</x:v>
      </x:c>
      <x:c r="B495" s="13" t="str">
        <x:v>5m</x:v>
      </x:c>
      <x:c r="C495" s="13" t="str">
        <x:v>event_local_4h</x:v>
      </x:c>
      <x:c r="D495" s="13" t="str">
        <x:v>ibc_net_inbound_atom</x:v>
      </x:c>
      <x:c r="E495" s="13" t="str">
        <x:v>spot_return</x:v>
      </x:c>
      <x:c r="F495" s="40" t="n">
        <x:v>-4</x:v>
      </x:c>
      <x:c r="G495" s="40" t="n">
        <x:v>-20</x:v>
      </x:c>
      <x:c r="H495" s="42" t="n">
        <x:v>0.030355559992758945</x:v>
      </x:c>
      <x:c r="I495" s="17" t="n">
        <x:v>44</x:v>
      </x:c>
    </x:row>
    <x:row r="496">
      <x:c r="A496" s="13" t="str">
        <x:v>5m_event_local_4h_ibc_net_inbound_atom_to_spot_return</x:v>
      </x:c>
      <x:c r="B496" s="13" t="str">
        <x:v>5m</x:v>
      </x:c>
      <x:c r="C496" s="13" t="str">
        <x:v>event_local_4h</x:v>
      </x:c>
      <x:c r="D496" s="13" t="str">
        <x:v>ibc_net_inbound_atom</x:v>
      </x:c>
      <x:c r="E496" s="13" t="str">
        <x:v>spot_return</x:v>
      </x:c>
      <x:c r="F496" s="40" t="n">
        <x:v>-3</x:v>
      </x:c>
      <x:c r="G496" s="40" t="n">
        <x:v>-15</x:v>
      </x:c>
      <x:c r="H496" s="42" t="n">
        <x:v>0.036820696451317865</x:v>
      </x:c>
      <x:c r="I496" s="17" t="n">
        <x:v>45</x:v>
      </x:c>
    </x:row>
    <x:row r="497">
      <x:c r="A497" s="13" t="str">
        <x:v>5m_event_local_4h_ibc_net_inbound_atom_to_spot_return</x:v>
      </x:c>
      <x:c r="B497" s="13" t="str">
        <x:v>5m</x:v>
      </x:c>
      <x:c r="C497" s="13" t="str">
        <x:v>event_local_4h</x:v>
      </x:c>
      <x:c r="D497" s="13" t="str">
        <x:v>ibc_net_inbound_atom</x:v>
      </x:c>
      <x:c r="E497" s="13" t="str">
        <x:v>spot_return</x:v>
      </x:c>
      <x:c r="F497" s="40" t="n">
        <x:v>-2</x:v>
      </x:c>
      <x:c r="G497" s="40" t="n">
        <x:v>-10</x:v>
      </x:c>
      <x:c r="H497" s="42" t="n">
        <x:v>-0.13336185197993333</x:v>
      </x:c>
      <x:c r="I497" s="17" t="n">
        <x:v>46</x:v>
      </x:c>
    </x:row>
    <x:row r="498">
      <x:c r="A498" s="13" t="str">
        <x:v>5m_event_local_4h_ibc_net_inbound_atom_to_spot_return</x:v>
      </x:c>
      <x:c r="B498" s="13" t="str">
        <x:v>5m</x:v>
      </x:c>
      <x:c r="C498" s="13" t="str">
        <x:v>event_local_4h</x:v>
      </x:c>
      <x:c r="D498" s="13" t="str">
        <x:v>ibc_net_inbound_atom</x:v>
      </x:c>
      <x:c r="E498" s="13" t="str">
        <x:v>spot_return</x:v>
      </x:c>
      <x:c r="F498" s="40" t="n">
        <x:v>-1</x:v>
      </x:c>
      <x:c r="G498" s="40" t="n">
        <x:v>-5</x:v>
      </x:c>
      <x:c r="H498" s="42" t="n">
        <x:v>0.12645254961625724</x:v>
      </x:c>
      <x:c r="I498" s="17" t="n">
        <x:v>47</x:v>
      </x:c>
    </x:row>
    <x:row r="499">
      <x:c r="A499" s="13" t="str">
        <x:v>5m_event_local_4h_ibc_net_inbound_atom_to_spot_return</x:v>
      </x:c>
      <x:c r="B499" s="13" t="str">
        <x:v>5m</x:v>
      </x:c>
      <x:c r="C499" s="13" t="str">
        <x:v>event_local_4h</x:v>
      </x:c>
      <x:c r="D499" s="13" t="str">
        <x:v>ibc_net_inbound_atom</x:v>
      </x:c>
      <x:c r="E499" s="13" t="str">
        <x:v>spot_return</x:v>
      </x:c>
      <x:c r="F499" s="40" t="n">
        <x:v>0</x:v>
      </x:c>
      <x:c r="G499" s="40" t="n">
        <x:v>0</x:v>
      </x:c>
      <x:c r="H499" s="42" t="n">
        <x:v>0.13072284819044733</x:v>
      </x:c>
      <x:c r="I499" s="17" t="n">
        <x:v>48</x:v>
      </x:c>
    </x:row>
    <x:row r="500">
      <x:c r="A500" s="13" t="str">
        <x:v>5m_event_local_4h_ibc_net_inbound_atom_to_spot_return</x:v>
      </x:c>
      <x:c r="B500" s="13" t="str">
        <x:v>5m</x:v>
      </x:c>
      <x:c r="C500" s="13" t="str">
        <x:v>event_local_4h</x:v>
      </x:c>
      <x:c r="D500" s="13" t="str">
        <x:v>ibc_net_inbound_atom</x:v>
      </x:c>
      <x:c r="E500" s="13" t="str">
        <x:v>spot_return</x:v>
      </x:c>
      <x:c r="F500" s="40" t="n">
        <x:v>1</x:v>
      </x:c>
      <x:c r="G500" s="40" t="n">
        <x:v>5</x:v>
      </x:c>
      <x:c r="H500" s="42" t="n">
        <x:v>0.03499603503806644</x:v>
      </x:c>
      <x:c r="I500" s="17" t="n">
        <x:v>47</x:v>
      </x:c>
    </x:row>
    <x:row r="501">
      <x:c r="A501" s="13" t="str">
        <x:v>5m_event_local_4h_ibc_net_inbound_atom_to_spot_return</x:v>
      </x:c>
      <x:c r="B501" s="13" t="str">
        <x:v>5m</x:v>
      </x:c>
      <x:c r="C501" s="13" t="str">
        <x:v>event_local_4h</x:v>
      </x:c>
      <x:c r="D501" s="13" t="str">
        <x:v>ibc_net_inbound_atom</x:v>
      </x:c>
      <x:c r="E501" s="13" t="str">
        <x:v>spot_return</x:v>
      </x:c>
      <x:c r="F501" s="40" t="n">
        <x:v>2</x:v>
      </x:c>
      <x:c r="G501" s="40" t="n">
        <x:v>10</x:v>
      </x:c>
      <x:c r="H501" s="42" t="n">
        <x:v>-0.008173648325652764</x:v>
      </x:c>
      <x:c r="I501" s="17" t="n">
        <x:v>46</x:v>
      </x:c>
    </x:row>
    <x:row r="502">
      <x:c r="A502" s="13" t="str">
        <x:v>5m_event_local_4h_ibc_net_inbound_atom_to_spot_return</x:v>
      </x:c>
      <x:c r="B502" s="13" t="str">
        <x:v>5m</x:v>
      </x:c>
      <x:c r="C502" s="13" t="str">
        <x:v>event_local_4h</x:v>
      </x:c>
      <x:c r="D502" s="13" t="str">
        <x:v>ibc_net_inbound_atom</x:v>
      </x:c>
      <x:c r="E502" s="13" t="str">
        <x:v>spot_return</x:v>
      </x:c>
      <x:c r="F502" s="40" t="n">
        <x:v>3</x:v>
      </x:c>
      <x:c r="G502" s="40" t="n">
        <x:v>15</x:v>
      </x:c>
      <x:c r="H502" s="42" t="n">
        <x:v>0.14610295385298358</x:v>
      </x:c>
      <x:c r="I502" s="17" t="n">
        <x:v>45</x:v>
      </x:c>
    </x:row>
    <x:row r="503">
      <x:c r="A503" s="13" t="str">
        <x:v>5m_event_local_4h_ibc_net_inbound_atom_to_spot_return</x:v>
      </x:c>
      <x:c r="B503" s="13" t="str">
        <x:v>5m</x:v>
      </x:c>
      <x:c r="C503" s="13" t="str">
        <x:v>event_local_4h</x:v>
      </x:c>
      <x:c r="D503" s="13" t="str">
        <x:v>ibc_net_inbound_atom</x:v>
      </x:c>
      <x:c r="E503" s="13" t="str">
        <x:v>spot_return</x:v>
      </x:c>
      <x:c r="F503" s="40" t="n">
        <x:v>4</x:v>
      </x:c>
      <x:c r="G503" s="40" t="n">
        <x:v>20</x:v>
      </x:c>
      <x:c r="H503" s="42" t="n">
        <x:v>0.13292370605366022</x:v>
      </x:c>
      <x:c r="I503" s="17" t="n">
        <x:v>44</x:v>
      </x:c>
    </x:row>
    <x:row r="504">
      <x:c r="A504" s="13" t="str">
        <x:v>5m_event_local_4h_ibc_net_inbound_atom_to_spot_return</x:v>
      </x:c>
      <x:c r="B504" s="13" t="str">
        <x:v>5m</x:v>
      </x:c>
      <x:c r="C504" s="13" t="str">
        <x:v>event_local_4h</x:v>
      </x:c>
      <x:c r="D504" s="13" t="str">
        <x:v>ibc_net_inbound_atom</x:v>
      </x:c>
      <x:c r="E504" s="13" t="str">
        <x:v>spot_return</x:v>
      </x:c>
      <x:c r="F504" s="40" t="n">
        <x:v>5</x:v>
      </x:c>
      <x:c r="G504" s="40" t="n">
        <x:v>25</x:v>
      </x:c>
      <x:c r="H504" s="42" t="n">
        <x:v>0.07729014300139847</x:v>
      </x:c>
      <x:c r="I504" s="17" t="n">
        <x:v>43</x:v>
      </x:c>
    </x:row>
    <x:row r="505">
      <x:c r="A505" s="13" t="str">
        <x:v>5m_event_local_4h_ibc_net_inbound_atom_to_spot_return</x:v>
      </x:c>
      <x:c r="B505" s="13" t="str">
        <x:v>5m</x:v>
      </x:c>
      <x:c r="C505" s="13" t="str">
        <x:v>event_local_4h</x:v>
      </x:c>
      <x:c r="D505" s="13" t="str">
        <x:v>ibc_net_inbound_atom</x:v>
      </x:c>
      <x:c r="E505" s="13" t="str">
        <x:v>spot_return</x:v>
      </x:c>
      <x:c r="F505" s="40" t="n">
        <x:v>6</x:v>
      </x:c>
      <x:c r="G505" s="40" t="n">
        <x:v>30</x:v>
      </x:c>
      <x:c r="H505" s="42" t="n">
        <x:v>-0.1682224586535899</x:v>
      </x:c>
      <x:c r="I505" s="17" t="n">
        <x:v>42</x:v>
      </x:c>
    </x:row>
    <x:row r="506">
      <x:c r="A506" s="13" t="str">
        <x:v>5m_event_local_4h_ibc_net_inbound_atom_to_spot_return</x:v>
      </x:c>
      <x:c r="B506" s="13" t="str">
        <x:v>5m</x:v>
      </x:c>
      <x:c r="C506" s="13" t="str">
        <x:v>event_local_4h</x:v>
      </x:c>
      <x:c r="D506" s="13" t="str">
        <x:v>ibc_net_inbound_atom</x:v>
      </x:c>
      <x:c r="E506" s="13" t="str">
        <x:v>spot_return</x:v>
      </x:c>
      <x:c r="F506" s="40" t="n">
        <x:v>7</x:v>
      </x:c>
      <x:c r="G506" s="40" t="n">
        <x:v>35</x:v>
      </x:c>
      <x:c r="H506" s="42" t="n">
        <x:v>-0.11398110795319885</x:v>
      </x:c>
      <x:c r="I506" s="17" t="n">
        <x:v>41</x:v>
      </x:c>
    </x:row>
    <x:row r="507">
      <x:c r="A507" s="13" t="str">
        <x:v>5m_event_local_4h_ibc_net_inbound_atom_to_spot_return</x:v>
      </x:c>
      <x:c r="B507" s="13" t="str">
        <x:v>5m</x:v>
      </x:c>
      <x:c r="C507" s="13" t="str">
        <x:v>event_local_4h</x:v>
      </x:c>
      <x:c r="D507" s="13" t="str">
        <x:v>ibc_net_inbound_atom</x:v>
      </x:c>
      <x:c r="E507" s="13" t="str">
        <x:v>spot_return</x:v>
      </x:c>
      <x:c r="F507" s="40" t="n">
        <x:v>8</x:v>
      </x:c>
      <x:c r="G507" s="40" t="n">
        <x:v>40</x:v>
      </x:c>
      <x:c r="H507" s="42" t="n">
        <x:v>-0.0155322239284964</x:v>
      </x:c>
      <x:c r="I507" s="17" t="n">
        <x:v>40</x:v>
      </x:c>
    </x:row>
    <x:row r="508">
      <x:c r="A508" s="13" t="str">
        <x:v>5m_event_local_4h_ibc_net_inbound_atom_to_spot_return</x:v>
      </x:c>
      <x:c r="B508" s="13" t="str">
        <x:v>5m</x:v>
      </x:c>
      <x:c r="C508" s="13" t="str">
        <x:v>event_local_4h</x:v>
      </x:c>
      <x:c r="D508" s="13" t="str">
        <x:v>ibc_net_inbound_atom</x:v>
      </x:c>
      <x:c r="E508" s="13" t="str">
        <x:v>spot_return</x:v>
      </x:c>
      <x:c r="F508" s="40" t="n">
        <x:v>9</x:v>
      </x:c>
      <x:c r="G508" s="40" t="n">
        <x:v>45</x:v>
      </x:c>
      <x:c r="H508" s="42" t="n">
        <x:v>-0.023489054043741166</x:v>
      </x:c>
      <x:c r="I508" s="17" t="n">
        <x:v>39</x:v>
      </x:c>
    </x:row>
    <x:row r="509">
      <x:c r="A509" s="13" t="str">
        <x:v>5m_event_local_4h_ibc_net_inbound_atom_to_spot_return</x:v>
      </x:c>
      <x:c r="B509" s="13" t="str">
        <x:v>5m</x:v>
      </x:c>
      <x:c r="C509" s="13" t="str">
        <x:v>event_local_4h</x:v>
      </x:c>
      <x:c r="D509" s="13" t="str">
        <x:v>ibc_net_inbound_atom</x:v>
      </x:c>
      <x:c r="E509" s="13" t="str">
        <x:v>spot_return</x:v>
      </x:c>
      <x:c r="F509" s="40" t="n">
        <x:v>10</x:v>
      </x:c>
      <x:c r="G509" s="40" t="n">
        <x:v>50</x:v>
      </x:c>
      <x:c r="H509" s="42" t="n">
        <x:v>-0.20050925031360448</x:v>
      </x:c>
      <x:c r="I509" s="17" t="n">
        <x:v>38</x:v>
      </x:c>
    </x:row>
    <x:row r="510">
      <x:c r="A510" s="13" t="str">
        <x:v>5m_event_local_4h_ibc_net_inbound_atom_to_spot_return</x:v>
      </x:c>
      <x:c r="B510" s="13" t="str">
        <x:v>5m</x:v>
      </x:c>
      <x:c r="C510" s="13" t="str">
        <x:v>event_local_4h</x:v>
      </x:c>
      <x:c r="D510" s="13" t="str">
        <x:v>ibc_net_inbound_atom</x:v>
      </x:c>
      <x:c r="E510" s="13" t="str">
        <x:v>spot_return</x:v>
      </x:c>
      <x:c r="F510" s="40" t="n">
        <x:v>11</x:v>
      </x:c>
      <x:c r="G510" s="40" t="n">
        <x:v>55</x:v>
      </x:c>
      <x:c r="H510" s="42" t="n">
        <x:v>-0.17882286233082442</x:v>
      </x:c>
      <x:c r="I510" s="17" t="n">
        <x:v>37</x:v>
      </x:c>
    </x:row>
    <x:row r="511">
      <x:c r="A511" s="13" t="str">
        <x:v>5m_event_local_4h_ibc_net_inbound_atom_to_spot_return</x:v>
      </x:c>
      <x:c r="B511" s="13" t="str">
        <x:v>5m</x:v>
      </x:c>
      <x:c r="C511" s="13" t="str">
        <x:v>event_local_4h</x:v>
      </x:c>
      <x:c r="D511" s="13" t="str">
        <x:v>ibc_net_inbound_atom</x:v>
      </x:c>
      <x:c r="E511" s="13" t="str">
        <x:v>spot_return</x:v>
      </x:c>
      <x:c r="F511" s="40" t="n">
        <x:v>12</x:v>
      </x:c>
      <x:c r="G511" s="40" t="n">
        <x:v>60</x:v>
      </x:c>
      <x:c r="H511" s="42" t="n">
        <x:v>-0.03964991570376016</x:v>
      </x:c>
      <x:c r="I511" s="17" t="n">
        <x:v>36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2" customHeight="1">
      <x:c r="A1" s="20" t="str">
        <x:v>Exchange-address robustness analysis</x:v>
      </x:c>
      <x:c r="B1" s="20"/>
      <x:c r="C1" s="20"/>
      <x:c r="D1" s="20"/>
      <x:c r="E1" s="20"/>
      <x:c r="F1" s="20"/>
      <x:c r="G1" s="20"/>
      <x:c r="H1" s="20"/>
    </x:row>
    <x:row r="2" ht="32" customHeight="1">
      <x:c r="A2" s="20"/>
      <x:c r="B2" s="20"/>
      <x:c r="C2" s="20"/>
      <x:c r="D2" s="20"/>
      <x:c r="E2" s="20"/>
      <x:c r="F2" s="20"/>
      <x:c r="G2" s="20"/>
      <x:c r="H2" s="20"/>
    </x:row>
    <x:row r="4">
      <x:c r="A4" s="9" t="str">
        <x:v>Definition</x:v>
      </x:c>
      <x:c r="B4" s="10" t="str">
        <x:v>Event inflow (ATOM)</x:v>
      </x:c>
      <x:c r="C4" s="10" t="str">
        <x:v>Share of combined</x:v>
      </x:c>
      <x:c r="D4" s="11" t="str">
        <x:v>Role</x:v>
      </x:c>
    </x:row>
    <x:row r="5">
      <x:c r="A5" s="12" t="str">
        <x:v>Confirmed public-label addresses</x:v>
      </x:c>
      <x:c r="B5" s="14" t="n">
        <x:v>188053.420087</x:v>
      </x:c>
      <x:c r="C5" s="21" t="n">
        <x:f>B5/$B$7</x:f>
        <x:v>0.11886668564290119</x:v>
      </x:c>
      <x:c r="D5" s="12" t="str">
        <x:v>Primary</x:v>
      </x:c>
    </x:row>
    <x:row r="6">
      <x:c r="A6" s="13" t="str">
        <x:v>Unconfirmed behavioral candidates</x:v>
      </x:c>
      <x:c r="B6" s="15" t="n">
        <x:v>1393999.777324</x:v>
      </x:c>
      <x:c r="C6" s="22" t="n">
        <x:f>B6/$B$7</x:f>
        <x:v>0.8811333143570989</x:v>
      </x:c>
      <x:c r="D6" s="13" t="str">
        <x:v>Sensitivity component</x:v>
      </x:c>
    </x:row>
    <x:row r="7">
      <x:c r="A7" s="13" t="str">
        <x:v>Confirmed + unconfirmed</x:v>
      </x:c>
      <x:c r="B7" s="15" t="n">
        <x:v>1582053.1974109998</x:v>
      </x:c>
      <x:c r="C7" s="22" t="n">
        <x:v>1</x:v>
      </x:c>
      <x:c r="D7" s="13" t="str">
        <x:v>Sensitivity total</x:v>
      </x:c>
    </x:row>
    <x:row r="9">
      <x:c r="A9" s="9" t="str">
        <x:v>Definition</x:v>
      </x:c>
      <x:c r="B9" s="10" t="str">
        <x:v>Event inflow</x:v>
      </x:c>
      <x:c r="C9" s="10" t="str">
        <x:v>360 percentile</x:v>
      </x:c>
      <x:c r="D9" s="10" t="str">
        <x:v>360 p</x:v>
      </x:c>
      <x:c r="E9" s="10" t="str">
        <x:v>Matched percentile</x:v>
      </x:c>
      <x:c r="F9" s="11" t="str">
        <x:v>Matched p</x:v>
      </x:c>
    </x:row>
    <x:row r="10">
      <x:c r="A10" s="12" t="str">
        <x:v>Confirmed exchange in (ATOM)</x:v>
      </x:c>
      <x:c r="B10" s="14" t="n">
        <x:f>'30d Tests'!E5</x:f>
        <x:v>188053.420087</x:v>
      </x:c>
      <x:c r="C10" s="21" t="n">
        <x:f>'30d Tests'!K5</x:f>
        <x:v>0.9388888888888889</x:v>
      </x:c>
      <x:c r="D10" s="37" t="n">
        <x:f>'30d Tests'!M5</x:f>
        <x:v>0.06371191135734072</x:v>
      </x:c>
      <x:c r="E10" s="21" t="n">
        <x:f>'30d Tests'!K6</x:f>
        <x:v>0.9</x:v>
      </x:c>
      <x:c r="F10" s="37" t="n">
        <x:f>'30d Tests'!M6</x:f>
        <x:v>0.12903225806451613</x:v>
      </x:c>
    </x:row>
    <x:row r="11">
      <x:c r="A11" s="13" t="str">
        <x:v>Unconfirmed behavioral in (ATOM)</x:v>
      </x:c>
      <x:c r="B11" s="15" t="n">
        <x:f>'30d Tests'!E13</x:f>
        <x:v>1393999.777324</x:v>
      </x:c>
      <x:c r="C11" s="22" t="n">
        <x:f>'30d Tests'!K13</x:f>
        <x:v>0.9916666666666667</x:v>
      </x:c>
      <x:c r="D11" s="38" t="n">
        <x:f>'30d Tests'!M13</x:f>
        <x:v>0.0110803324099723</x:v>
      </x:c>
      <x:c r="E11" s="22" t="n">
        <x:f>'30d Tests'!K14</x:f>
        <x:v>0.9666666666666667</x:v>
      </x:c>
      <x:c r="F11" s="38" t="n">
        <x:f>'30d Tests'!M14</x:f>
        <x:v>0.06451612903225806</x:v>
      </x:c>
    </x:row>
    <x:row r="12">
      <x:c r="A12" s="13" t="str">
        <x:v>Confirmed + unconfirmed in (ATOM)</x:v>
      </x:c>
      <x:c r="B12" s="15" t="n">
        <x:f>'30d Tests'!E15</x:f>
        <x:v>1582053.1974109998</x:v>
      </x:c>
      <x:c r="C12" s="22" t="n">
        <x:f>'30d Tests'!K15</x:f>
        <x:v>0.9888888888888889</x:v>
      </x:c>
      <x:c r="D12" s="38" t="n">
        <x:f>'30d Tests'!M15</x:f>
        <x:v>0.013850415512465374</x:v>
      </x:c>
      <x:c r="E12" s="22" t="n">
        <x:f>'30d Tests'!K16</x:f>
        <x:v>0.9333333333333333</x:v>
      </x:c>
      <x:c r="F12" s="38" t="n">
        <x:f>'30d Tests'!M16</x:f>
        <x:v>0.0967741935483871</x:v>
      </x:c>
    </x:row>
    <x:row r="15">
      <x:c r="A15" s="45" t="str">
        <x:v>Interpretation guardrail</x:v>
      </x:c>
      <x:c r="B15" s="45"/>
      <x:c r="C15" s="45"/>
      <x:c r="D15" s="45"/>
      <x:c r="E15" s="45"/>
      <x:c r="F15" s="45"/>
      <x:c r="G15" s="45"/>
      <x:c r="H15" s="45"/>
    </x:row>
    <x:row r="16" ht="30" customHeight="1">
      <x:c r="A16" s="49" t="str">
        <x:v>Primary inference uses four public-record exact-address labels. Behavioral high/medium candidates are sensitivity-only; the large-flow watchlist is excluded. The acquired dataset contains no historical Binance ATOM/USDT order-book snapshots. Executed prints and cross-venue divergence are consistent with a pair-specific liquidity or market-microstructure disruption, but do not prove liquidity depletion or exhaustion.</x:v>
      </x:c>
      <x:c r="B16" s="49"/>
      <x:c r="C16" s="49"/>
      <x:c r="D16" s="49"/>
      <x:c r="E16" s="49"/>
      <x:c r="F16" s="49"/>
      <x:c r="G16" s="49"/>
      <x:c r="H16" s="49"/>
    </x:row>
    <x:row r="17" ht="30" customHeight="1">
      <x:c r="A17" s="49"/>
      <x:c r="B17" s="49"/>
      <x:c r="C17" s="49"/>
      <x:c r="D17" s="49"/>
      <x:c r="E17" s="49"/>
      <x:c r="F17" s="49"/>
      <x:c r="G17" s="49"/>
      <x:c r="H17" s="49"/>
    </x:row>
    <x:row r="18" ht="30" customHeight="1">
      <x:c r="A18" s="49"/>
      <x:c r="B18" s="49"/>
      <x:c r="C18" s="49"/>
      <x:c r="D18" s="49"/>
      <x:c r="E18" s="49"/>
      <x:c r="F18" s="49"/>
      <x:c r="G18" s="49"/>
      <x:c r="H18" s="49"/>
    </x:row>
    <x:row r="19" ht="30" customHeight="1">
      <x:c r="A19" s="49"/>
      <x:c r="B19" s="49"/>
      <x:c r="C19" s="49"/>
      <x:c r="D19" s="49"/>
      <x:c r="E19" s="49"/>
      <x:c r="F19" s="49"/>
      <x:c r="G19" s="49"/>
      <x:c r="H19" s="49"/>
    </x:row>
  </x:sheetData>
  <x:mergeCells>
    <x:mergeCell ref="A1:H2"/>
    <x:mergeCell ref="A15:H15"/>
    <x:mergeCell ref="A16:H19"/>
  </x:mergeCells>
  <x:pageMargins left="0.7" right="0.7" top="0.75" bottom="0.75" header="0.3" footer="0.3"/>
  <x:drawing xmlns:r="http://schemas.openxmlformats.org/officeDocument/2006/relationships" r:id="Rcb169fc806d74bfa"/>
</x:worksheet>
</file>